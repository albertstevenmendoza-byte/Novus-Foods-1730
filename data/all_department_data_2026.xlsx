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akeviewfarms1600-my.sharepoint.com/personal/amendoza_novusfoods_com/Documents/Novus Foods 1730/data/"/>
    </mc:Choice>
  </mc:AlternateContent>
  <xr:revisionPtr revIDLastSave="3375" documentId="11_F25DC773A252ABDACC104887511B6C765ADE58EC" xr6:coauthVersionLast="47" xr6:coauthVersionMax="47" xr10:uidLastSave="{46977A39-618E-48C8-A8B1-49AEFF47D428}"/>
  <bookViews>
    <workbookView xWindow="22932" yWindow="-108" windowWidth="23256" windowHeight="12456" firstSheet="1" activeTab="2" xr2:uid="{00000000-000D-0000-FFFF-FFFF00000000}"/>
  </bookViews>
  <sheets>
    <sheet name="Inventory Control" sheetId="2" r:id="rId1"/>
    <sheet name="Production" sheetId="5" r:id="rId2"/>
    <sheet name="Warehouse" sheetId="3" r:id="rId3"/>
    <sheet name="SAP" sheetId="4" r:id="rId4"/>
    <sheet name="Maintenance" sheetId="6" r:id="rId5"/>
    <sheet name="QA" sheetId="7" r:id="rId6"/>
    <sheet name="Finance" sheetId="8" r:id="rId7"/>
    <sheet name="HR | Training" sheetId="9" r:id="rId8"/>
    <sheet name="Needs Actio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3" l="1"/>
  <c r="J61" i="3"/>
  <c r="J62" i="3"/>
  <c r="J63" i="3"/>
  <c r="E55" i="2"/>
  <c r="E54" i="2"/>
  <c r="F104" i="5"/>
  <c r="F105" i="5"/>
  <c r="F106" i="5"/>
  <c r="F107" i="5"/>
  <c r="F108" i="5"/>
  <c r="F109" i="5"/>
  <c r="F110" i="5"/>
  <c r="F111" i="5"/>
  <c r="F112" i="5"/>
  <c r="F113" i="5"/>
  <c r="F114" i="5"/>
  <c r="F115" i="5"/>
  <c r="E51" i="2"/>
  <c r="E52" i="2"/>
  <c r="E53" i="2"/>
  <c r="E50" i="2"/>
  <c r="J43" i="3"/>
  <c r="J42" i="3"/>
  <c r="J16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2" i="3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2" i="5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<sst xmlns="http://schemas.openxmlformats.org/spreadsheetml/2006/main" count="532" uniqueCount="138">
  <si>
    <t>Date</t>
  </si>
  <si>
    <t>Needs Action</t>
  </si>
  <si>
    <t>Date Completed</t>
  </si>
  <si>
    <t>Notes</t>
  </si>
  <si>
    <t>Cerritos</t>
  </si>
  <si>
    <t>Buena Park</t>
  </si>
  <si>
    <t>Line</t>
  </si>
  <si>
    <t>2A</t>
  </si>
  <si>
    <t>PL1</t>
  </si>
  <si>
    <t>PL2</t>
  </si>
  <si>
    <t>MP4</t>
  </si>
  <si>
    <t>PXM6</t>
  </si>
  <si>
    <t>2E</t>
  </si>
  <si>
    <t>OEE</t>
  </si>
  <si>
    <t>Expected Pounds</t>
  </si>
  <si>
    <t>Actual Pounds</t>
  </si>
  <si>
    <t>Yield</t>
  </si>
  <si>
    <t>Start Up</t>
  </si>
  <si>
    <t>CIL</t>
  </si>
  <si>
    <t>Downtime</t>
  </si>
  <si>
    <t>Mechanical Downtime Drivers</t>
  </si>
  <si>
    <t>Material Downtime Drivers</t>
  </si>
  <si>
    <t>COGI</t>
  </si>
  <si>
    <t>Variances</t>
  </si>
  <si>
    <t>Open Process Orders</t>
  </si>
  <si>
    <t>TECO</t>
  </si>
  <si>
    <t>Receiving Tasks</t>
  </si>
  <si>
    <t>Outbound Tasks</t>
  </si>
  <si>
    <t>Work Orders Completed</t>
  </si>
  <si>
    <t>City</t>
  </si>
  <si>
    <t>Fill Rate %</t>
  </si>
  <si>
    <t>Work Orders Planned</t>
  </si>
  <si>
    <t>Code Red</t>
  </si>
  <si>
    <t>Code Yellow</t>
  </si>
  <si>
    <t>Special Projects</t>
  </si>
  <si>
    <t>Holds</t>
  </si>
  <si>
    <t>Holds/COA</t>
  </si>
  <si>
    <t>PEM %</t>
  </si>
  <si>
    <t>Number of Complaints</t>
  </si>
  <si>
    <t>$/Pound - Direct</t>
  </si>
  <si>
    <t>$/Pound - Indirect</t>
  </si>
  <si>
    <t>OT - QA</t>
  </si>
  <si>
    <t xml:space="preserve"> OT - Finance</t>
  </si>
  <si>
    <t>OT - Warehouse</t>
  </si>
  <si>
    <t>OT - SAP</t>
  </si>
  <si>
    <t>OT - Maintenance</t>
  </si>
  <si>
    <t>Total Overtime</t>
  </si>
  <si>
    <t>Conversion Cost</t>
  </si>
  <si>
    <t>Pounds/hour - Direct</t>
  </si>
  <si>
    <t>Pounds/hour - Indirect</t>
  </si>
  <si>
    <t>Target Pounds</t>
  </si>
  <si>
    <t>Pounds Produced</t>
  </si>
  <si>
    <t>Disposal Quantity</t>
  </si>
  <si>
    <t>Disposal Cost</t>
  </si>
  <si>
    <t>Trainings Complete</t>
  </si>
  <si>
    <t>Number of Meal Penalties</t>
  </si>
  <si>
    <t>Near Miss Reports</t>
  </si>
  <si>
    <t>Safety Audits</t>
  </si>
  <si>
    <t>Days Without Incident</t>
  </si>
  <si>
    <t>Head Count - Direct</t>
  </si>
  <si>
    <t>Head Count - Indirect</t>
  </si>
  <si>
    <t>yes</t>
  </si>
  <si>
    <t>Maintenance</t>
  </si>
  <si>
    <t>Warehouse</t>
  </si>
  <si>
    <t>QA</t>
  </si>
  <si>
    <t>Inventory Control</t>
  </si>
  <si>
    <t>HR | Training</t>
  </si>
  <si>
    <t>Production</t>
  </si>
  <si>
    <t>Conversion Cost Target</t>
  </si>
  <si>
    <t>Planned Cycle Counts</t>
  </si>
  <si>
    <t>Counts Completed</t>
  </si>
  <si>
    <t>Completion %</t>
  </si>
  <si>
    <t>Bin Accuracy</t>
  </si>
  <si>
    <t>Bin Accuracy Target</t>
  </si>
  <si>
    <t>Spices</t>
  </si>
  <si>
    <t>Raw matrial found a pallet of IQF Org Jalp Diced 1/4" - 3/8"</t>
  </si>
  <si>
    <t xml:space="preserve">Packaging cerritos warehouse disposals/adjustments </t>
  </si>
  <si>
    <t>Packing</t>
  </si>
  <si>
    <t>Raw material/Packing</t>
  </si>
  <si>
    <t>Raw material</t>
  </si>
  <si>
    <t>Finished Goods</t>
  </si>
  <si>
    <t>Raw material/Sour cream/Aceptic</t>
  </si>
  <si>
    <t>Raw materials/Finished Goods</t>
  </si>
  <si>
    <t>no</t>
  </si>
  <si>
    <t>DNR</t>
  </si>
  <si>
    <t>Labels</t>
  </si>
  <si>
    <t>Delkor</t>
  </si>
  <si>
    <t>Labels 8226</t>
  </si>
  <si>
    <t>MP4 Defected labels, 2E waiting on lids</t>
  </si>
  <si>
    <t>Townhall, MP4 labels, Organic on MP4</t>
  </si>
  <si>
    <t>Labels, short on material</t>
  </si>
  <si>
    <t>Sour cream, labels</t>
  </si>
  <si>
    <t>No beans and no sour cream for layer lines</t>
  </si>
  <si>
    <t>CIP/sensor conveyor</t>
  </si>
  <si>
    <t>Mold 35 PXM6</t>
  </si>
  <si>
    <t>Waiting on labels, short staff</t>
  </si>
  <si>
    <t>X6smol035, trial</t>
  </si>
  <si>
    <t>2nd shift no labels, no cream cheese</t>
  </si>
  <si>
    <t>comitrol PL1, filler 2E</t>
  </si>
  <si>
    <t>Comitrol PL1, assembling MP4</t>
  </si>
  <si>
    <t>2E sensor issues MP4 timming was off</t>
  </si>
  <si>
    <t>2E sensor issues and conveyor, MP4 cups getting stuck and lids</t>
  </si>
  <si>
    <t>Number of cases scheduled to ship</t>
  </si>
  <si>
    <t>Inbound Expected</t>
  </si>
  <si>
    <t>Inbound Received</t>
  </si>
  <si>
    <t>Inbound Expected STOs</t>
  </si>
  <si>
    <t>Inbound Received STOs</t>
  </si>
  <si>
    <t>Number of loads</t>
  </si>
  <si>
    <t>211 Salsa scrap factors + tomato scrap factors</t>
  </si>
  <si>
    <t>IT ticket for 1008176 GI not posted</t>
  </si>
  <si>
    <t>Scrap factor document (Darinka)</t>
  </si>
  <si>
    <t>Aging 37+16 open PO</t>
  </si>
  <si>
    <t>Ticket for garlic in water</t>
  </si>
  <si>
    <t>Change labels 3x4 and 3x5</t>
  </si>
  <si>
    <t>PM Priority Line Completion</t>
  </si>
  <si>
    <t>PM Completion</t>
  </si>
  <si>
    <t>Variants</t>
  </si>
  <si>
    <t>Number of cases shipped</t>
  </si>
  <si>
    <t>OT - HR | Training</t>
  </si>
  <si>
    <t>Department</t>
  </si>
  <si>
    <t>Near Miss</t>
  </si>
  <si>
    <t>OT - Production</t>
  </si>
  <si>
    <t>Raw materials and finished gooods</t>
  </si>
  <si>
    <t>2E cylinder #3, PL1 cup dispenser</t>
  </si>
  <si>
    <t>No labels for PL1 and 2E</t>
  </si>
  <si>
    <t>Scrapping PSA</t>
  </si>
  <si>
    <t>SAP</t>
  </si>
  <si>
    <t>Pre-op inspection pass rate needs to be updated</t>
  </si>
  <si>
    <t>Marvin</t>
  </si>
  <si>
    <t>Need to make sure we are not collecting null data from machines</t>
  </si>
  <si>
    <t>Monitor spice levels</t>
  </si>
  <si>
    <t>Monitor inventory shelf life</t>
  </si>
  <si>
    <t>Cilantro MLQ</t>
  </si>
  <si>
    <t>Get a layout for PL1</t>
  </si>
  <si>
    <t>Follow up on returns</t>
  </si>
  <si>
    <t>Complete SA trainings</t>
  </si>
  <si>
    <t>Finance</t>
  </si>
  <si>
    <t>Adding HU to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</si>
</sst>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9" fontId="1" fillId="0" borderId="0" xfId="1" applyFont="1"/>
    <xf numFmtId="9" fontId="0" fillId="0" borderId="0" xfId="1" applyFont="1"/>
    <xf numFmtId="44" fontId="1" fillId="0" borderId="0" xfId="2" applyFont="1"/>
    <xf numFmtId="44" fontId="0" fillId="0" borderId="0" xfId="2" applyFont="1"/>
    <xf numFmtId="0" fontId="1" fillId="2" borderId="1" xfId="0" applyFont="1" applyFill="1" applyBorder="1"/>
    <xf numFmtId="10" fontId="1" fillId="2" borderId="1" xfId="0" applyNumberFormat="1" applyFont="1" applyFill="1" applyBorder="1"/>
    <xf numFmtId="10" fontId="0" fillId="0" borderId="0" xfId="0" applyNumberFormat="1"/>
    <xf numFmtId="44" fontId="1" fillId="2" borderId="1" xfId="2" applyFont="1" applyFill="1" applyBorder="1"/>
    <xf numFmtId="0" fontId="0" fillId="3" borderId="0" xfId="0" applyFill="1"/>
    <xf numFmtId="0" fontId="0" fillId="2" borderId="1" xfId="0" applyFill="1" applyBorder="1"/>
    <xf numFmtId="9" fontId="0" fillId="0" borderId="1" xfId="1" applyFont="1" applyBorder="1"/>
    <xf numFmtId="9" fontId="1" fillId="2" borderId="1" xfId="1" applyFont="1" applyFill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56F4-B1E7-475A-9F28-7031A863412F}">
  <dimension ref="A1:J77"/>
  <sheetViews>
    <sheetView workbookViewId="0">
      <pane xSplit="1" ySplit="1" topLeftCell="B38" activePane="bottomRight" state="frozen"/>
      <selection pane="topRight" activeCell="C1" sqref="C1"/>
      <selection pane="bottomLeft" activeCell="A2" sqref="A2"/>
      <selection pane="bottomRight" activeCell="H55" sqref="H55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23.21875" bestFit="1" customWidth="1"/>
    <col min="4" max="4" width="20.5546875" bestFit="1" customWidth="1"/>
    <col min="5" max="5" width="16.5546875" style="10" bestFit="1" customWidth="1"/>
    <col min="6" max="6" width="13.21875" style="7" bestFit="1" customWidth="1"/>
    <col min="7" max="7" width="15.6640625" style="5" bestFit="1" customWidth="1"/>
    <col min="8" max="8" width="21.109375" bestFit="1" customWidth="1"/>
    <col min="9" max="9" width="49.88671875" bestFit="1" customWidth="1"/>
    <col min="10" max="10" width="9.21875" bestFit="1" customWidth="1"/>
  </cols>
  <sheetData>
    <row r="1" spans="1:10" x14ac:dyDescent="0.3">
      <c r="A1" s="2" t="s">
        <v>0</v>
      </c>
      <c r="B1" s="2" t="s">
        <v>29</v>
      </c>
      <c r="C1" s="8" t="s">
        <v>69</v>
      </c>
      <c r="D1" s="8" t="s">
        <v>70</v>
      </c>
      <c r="E1" s="9" t="s">
        <v>71</v>
      </c>
      <c r="F1" s="11" t="s">
        <v>116</v>
      </c>
      <c r="G1" s="15" t="s">
        <v>72</v>
      </c>
      <c r="H1" s="8" t="s">
        <v>73</v>
      </c>
      <c r="I1" s="2" t="s">
        <v>3</v>
      </c>
      <c r="J1" s="2" t="s">
        <v>120</v>
      </c>
    </row>
    <row r="2" spans="1:10" x14ac:dyDescent="0.3">
      <c r="A2" s="1">
        <v>45969</v>
      </c>
      <c r="B2" t="s">
        <v>5</v>
      </c>
      <c r="C2">
        <v>40</v>
      </c>
      <c r="D2">
        <v>40</v>
      </c>
      <c r="E2" s="10">
        <f>IFERROR(D2/C2, NA())</f>
        <v>1</v>
      </c>
      <c r="F2" s="7">
        <v>-3941</v>
      </c>
      <c r="H2">
        <v>99.5</v>
      </c>
      <c r="I2" t="s">
        <v>74</v>
      </c>
    </row>
    <row r="3" spans="1:10" x14ac:dyDescent="0.3">
      <c r="A3" s="1">
        <v>45969</v>
      </c>
      <c r="B3" t="s">
        <v>4</v>
      </c>
      <c r="C3">
        <v>0</v>
      </c>
      <c r="D3">
        <v>0</v>
      </c>
      <c r="E3" s="10" t="e">
        <f t="shared" ref="E3:E55" si="0">IFERROR(D3/C3, NA())</f>
        <v>#N/A</v>
      </c>
      <c r="F3" s="7">
        <v>0</v>
      </c>
      <c r="H3">
        <v>99.5</v>
      </c>
    </row>
    <row r="4" spans="1:10" x14ac:dyDescent="0.3">
      <c r="A4" s="1">
        <v>45971</v>
      </c>
      <c r="B4" t="s">
        <v>5</v>
      </c>
      <c r="C4">
        <v>17</v>
      </c>
      <c r="D4">
        <v>17</v>
      </c>
      <c r="E4" s="10">
        <f t="shared" si="0"/>
        <v>1</v>
      </c>
      <c r="F4" s="7">
        <v>0</v>
      </c>
      <c r="H4">
        <v>99.5</v>
      </c>
      <c r="I4" t="s">
        <v>79</v>
      </c>
    </row>
    <row r="5" spans="1:10" x14ac:dyDescent="0.3">
      <c r="A5" s="1">
        <v>45971</v>
      </c>
      <c r="B5" t="s">
        <v>4</v>
      </c>
      <c r="C5">
        <v>0</v>
      </c>
      <c r="D5">
        <v>0</v>
      </c>
      <c r="E5" s="10" t="e">
        <f t="shared" si="0"/>
        <v>#N/A</v>
      </c>
      <c r="F5" s="7">
        <v>0</v>
      </c>
      <c r="H5">
        <v>99.5</v>
      </c>
    </row>
    <row r="6" spans="1:10" x14ac:dyDescent="0.3">
      <c r="A6" s="1">
        <v>45972</v>
      </c>
      <c r="B6" t="s">
        <v>5</v>
      </c>
      <c r="C6">
        <v>0</v>
      </c>
      <c r="D6">
        <v>0</v>
      </c>
      <c r="E6" s="10" t="e">
        <f t="shared" si="0"/>
        <v>#N/A</v>
      </c>
      <c r="F6" s="7">
        <v>0</v>
      </c>
      <c r="H6">
        <v>99.5</v>
      </c>
    </row>
    <row r="7" spans="1:10" x14ac:dyDescent="0.3">
      <c r="A7" s="1">
        <v>45972</v>
      </c>
      <c r="B7" t="s">
        <v>4</v>
      </c>
      <c r="C7">
        <v>0</v>
      </c>
      <c r="D7">
        <v>0</v>
      </c>
      <c r="E7" s="10" t="e">
        <f t="shared" si="0"/>
        <v>#N/A</v>
      </c>
      <c r="F7" s="7">
        <v>0</v>
      </c>
      <c r="H7">
        <v>99.5</v>
      </c>
    </row>
    <row r="8" spans="1:10" x14ac:dyDescent="0.3">
      <c r="A8" s="1">
        <v>45973</v>
      </c>
      <c r="B8" t="s">
        <v>5</v>
      </c>
      <c r="C8">
        <v>17</v>
      </c>
      <c r="D8">
        <v>17</v>
      </c>
      <c r="E8" s="10">
        <f t="shared" si="0"/>
        <v>1</v>
      </c>
      <c r="F8" s="7">
        <v>2549.21</v>
      </c>
      <c r="H8">
        <v>99.5</v>
      </c>
      <c r="I8" t="s">
        <v>75</v>
      </c>
    </row>
    <row r="9" spans="1:10" x14ac:dyDescent="0.3">
      <c r="A9" s="1">
        <v>45973</v>
      </c>
      <c r="B9" t="s">
        <v>4</v>
      </c>
      <c r="C9">
        <v>0</v>
      </c>
      <c r="D9">
        <v>0</v>
      </c>
      <c r="E9" s="10" t="e">
        <f t="shared" si="0"/>
        <v>#N/A</v>
      </c>
      <c r="F9" s="7">
        <v>0</v>
      </c>
      <c r="H9">
        <v>99.5</v>
      </c>
    </row>
    <row r="10" spans="1:10" x14ac:dyDescent="0.3">
      <c r="A10" s="1">
        <v>45974</v>
      </c>
      <c r="B10" t="s">
        <v>5</v>
      </c>
      <c r="C10">
        <v>10</v>
      </c>
      <c r="D10">
        <v>10</v>
      </c>
      <c r="E10" s="10">
        <f t="shared" si="0"/>
        <v>1</v>
      </c>
      <c r="F10" s="7">
        <v>0</v>
      </c>
      <c r="H10">
        <v>99.5</v>
      </c>
    </row>
    <row r="11" spans="1:10" x14ac:dyDescent="0.3">
      <c r="A11" s="1">
        <v>45974</v>
      </c>
      <c r="B11" t="s">
        <v>4</v>
      </c>
      <c r="C11">
        <v>0</v>
      </c>
      <c r="D11">
        <v>0</v>
      </c>
      <c r="E11" s="10" t="e">
        <f t="shared" si="0"/>
        <v>#N/A</v>
      </c>
      <c r="F11" s="7">
        <v>0</v>
      </c>
      <c r="H11">
        <v>99.5</v>
      </c>
    </row>
    <row r="12" spans="1:10" x14ac:dyDescent="0.3">
      <c r="A12" s="1">
        <v>45975</v>
      </c>
      <c r="B12" t="s">
        <v>5</v>
      </c>
      <c r="C12">
        <v>0</v>
      </c>
      <c r="D12">
        <v>0</v>
      </c>
      <c r="E12" s="10" t="e">
        <f t="shared" si="0"/>
        <v>#N/A</v>
      </c>
      <c r="F12" s="7">
        <v>0</v>
      </c>
      <c r="H12">
        <v>99.5</v>
      </c>
    </row>
    <row r="13" spans="1:10" x14ac:dyDescent="0.3">
      <c r="A13" s="1">
        <v>45975</v>
      </c>
      <c r="B13" t="s">
        <v>4</v>
      </c>
      <c r="C13">
        <v>0</v>
      </c>
      <c r="D13">
        <v>0</v>
      </c>
      <c r="E13" s="10" t="e">
        <f t="shared" si="0"/>
        <v>#N/A</v>
      </c>
      <c r="F13" s="7">
        <v>0</v>
      </c>
      <c r="H13">
        <v>99.5</v>
      </c>
    </row>
    <row r="14" spans="1:10" x14ac:dyDescent="0.3">
      <c r="A14" s="1">
        <v>45976</v>
      </c>
      <c r="B14" t="s">
        <v>5</v>
      </c>
      <c r="C14">
        <v>0</v>
      </c>
      <c r="D14">
        <v>0</v>
      </c>
      <c r="E14" s="10" t="e">
        <f t="shared" si="0"/>
        <v>#N/A</v>
      </c>
      <c r="F14" s="7">
        <v>0</v>
      </c>
      <c r="H14">
        <v>99.5</v>
      </c>
      <c r="I14" t="s">
        <v>76</v>
      </c>
    </row>
    <row r="15" spans="1:10" x14ac:dyDescent="0.3">
      <c r="A15" s="1">
        <v>45976</v>
      </c>
      <c r="B15" t="s">
        <v>4</v>
      </c>
      <c r="C15">
        <v>1</v>
      </c>
      <c r="D15">
        <v>1</v>
      </c>
      <c r="E15" s="10">
        <f t="shared" si="0"/>
        <v>1</v>
      </c>
      <c r="F15" s="7">
        <v>-250000</v>
      </c>
      <c r="H15">
        <v>99.5</v>
      </c>
    </row>
    <row r="16" spans="1:10" x14ac:dyDescent="0.3">
      <c r="A16" s="1">
        <v>45978</v>
      </c>
      <c r="B16" t="s">
        <v>5</v>
      </c>
      <c r="C16">
        <v>17</v>
      </c>
      <c r="D16">
        <v>17</v>
      </c>
      <c r="E16" s="10">
        <f t="shared" si="0"/>
        <v>1</v>
      </c>
      <c r="F16" s="7">
        <v>2000</v>
      </c>
      <c r="H16">
        <v>99.5</v>
      </c>
      <c r="I16" t="s">
        <v>79</v>
      </c>
    </row>
    <row r="17" spans="1:9" x14ac:dyDescent="0.3">
      <c r="A17" s="1">
        <v>45978</v>
      </c>
      <c r="B17" t="s">
        <v>4</v>
      </c>
      <c r="C17">
        <v>0</v>
      </c>
      <c r="D17">
        <v>0</v>
      </c>
      <c r="E17" s="10" t="e">
        <f t="shared" si="0"/>
        <v>#N/A</v>
      </c>
      <c r="F17" s="7">
        <v>0</v>
      </c>
      <c r="H17">
        <v>99.5</v>
      </c>
    </row>
    <row r="18" spans="1:9" x14ac:dyDescent="0.3">
      <c r="A18" s="1">
        <v>45979</v>
      </c>
      <c r="B18" t="s">
        <v>5</v>
      </c>
      <c r="C18">
        <v>20</v>
      </c>
      <c r="D18">
        <v>20</v>
      </c>
      <c r="E18" s="10">
        <f t="shared" si="0"/>
        <v>1</v>
      </c>
      <c r="F18" s="7">
        <v>-1037.06</v>
      </c>
      <c r="H18">
        <v>99.5</v>
      </c>
      <c r="I18" t="s">
        <v>77</v>
      </c>
    </row>
    <row r="19" spans="1:9" x14ac:dyDescent="0.3">
      <c r="A19" s="1">
        <v>45979</v>
      </c>
      <c r="B19" t="s">
        <v>4</v>
      </c>
      <c r="C19">
        <v>0</v>
      </c>
      <c r="D19">
        <v>0</v>
      </c>
      <c r="E19" s="10" t="e">
        <f t="shared" si="0"/>
        <v>#N/A</v>
      </c>
      <c r="F19" s="7">
        <v>0</v>
      </c>
      <c r="H19">
        <v>99.5</v>
      </c>
    </row>
    <row r="20" spans="1:9" x14ac:dyDescent="0.3">
      <c r="A20" s="1">
        <v>45980</v>
      </c>
      <c r="B20" t="s">
        <v>5</v>
      </c>
      <c r="C20">
        <v>25</v>
      </c>
      <c r="D20">
        <v>25</v>
      </c>
      <c r="E20" s="10">
        <f t="shared" si="0"/>
        <v>1</v>
      </c>
      <c r="F20" s="7">
        <v>0</v>
      </c>
      <c r="H20">
        <v>99.5</v>
      </c>
      <c r="I20" t="s">
        <v>77</v>
      </c>
    </row>
    <row r="21" spans="1:9" x14ac:dyDescent="0.3">
      <c r="A21" s="1">
        <v>45980</v>
      </c>
      <c r="B21" t="s">
        <v>4</v>
      </c>
      <c r="C21">
        <v>0</v>
      </c>
      <c r="D21">
        <v>0</v>
      </c>
      <c r="E21" s="10" t="e">
        <f t="shared" si="0"/>
        <v>#N/A</v>
      </c>
      <c r="F21" s="7">
        <v>0</v>
      </c>
      <c r="H21">
        <v>99.5</v>
      </c>
    </row>
    <row r="22" spans="1:9" x14ac:dyDescent="0.3">
      <c r="A22" s="1">
        <v>45981</v>
      </c>
      <c r="B22" t="s">
        <v>5</v>
      </c>
      <c r="C22">
        <v>18</v>
      </c>
      <c r="D22">
        <v>18</v>
      </c>
      <c r="E22" s="10">
        <f t="shared" si="0"/>
        <v>1</v>
      </c>
      <c r="F22" s="7">
        <v>-339.34</v>
      </c>
      <c r="H22">
        <v>99.5</v>
      </c>
      <c r="I22" t="s">
        <v>78</v>
      </c>
    </row>
    <row r="23" spans="1:9" x14ac:dyDescent="0.3">
      <c r="A23" s="1">
        <v>45981</v>
      </c>
      <c r="B23" t="s">
        <v>4</v>
      </c>
      <c r="C23">
        <v>0</v>
      </c>
      <c r="D23">
        <v>0</v>
      </c>
      <c r="E23" s="10" t="e">
        <f t="shared" si="0"/>
        <v>#N/A</v>
      </c>
      <c r="F23" s="7">
        <v>0</v>
      </c>
      <c r="H23">
        <v>99.5</v>
      </c>
    </row>
    <row r="24" spans="1:9" x14ac:dyDescent="0.3">
      <c r="A24" s="1">
        <v>45982</v>
      </c>
      <c r="B24" t="s">
        <v>5</v>
      </c>
      <c r="C24">
        <v>20</v>
      </c>
      <c r="D24">
        <v>20</v>
      </c>
      <c r="E24" s="10">
        <f t="shared" si="0"/>
        <v>1</v>
      </c>
      <c r="F24" s="7">
        <v>496.05</v>
      </c>
      <c r="H24">
        <v>99.5</v>
      </c>
      <c r="I24" t="s">
        <v>78</v>
      </c>
    </row>
    <row r="25" spans="1:9" x14ac:dyDescent="0.3">
      <c r="A25" s="1">
        <v>45982</v>
      </c>
      <c r="B25" t="s">
        <v>4</v>
      </c>
      <c r="C25">
        <v>0</v>
      </c>
      <c r="D25">
        <v>0</v>
      </c>
      <c r="E25" s="10" t="e">
        <f t="shared" si="0"/>
        <v>#N/A</v>
      </c>
      <c r="F25" s="7">
        <v>0</v>
      </c>
      <c r="H25">
        <v>99.5</v>
      </c>
    </row>
    <row r="26" spans="1:9" x14ac:dyDescent="0.3">
      <c r="A26" s="1">
        <v>45980</v>
      </c>
      <c r="B26" t="s">
        <v>5</v>
      </c>
      <c r="C26">
        <v>23</v>
      </c>
      <c r="D26">
        <v>23</v>
      </c>
      <c r="E26" s="10">
        <f t="shared" si="0"/>
        <v>1</v>
      </c>
      <c r="F26" s="7">
        <v>-362.74</v>
      </c>
      <c r="H26">
        <v>99.5</v>
      </c>
      <c r="I26" t="s">
        <v>78</v>
      </c>
    </row>
    <row r="27" spans="1:9" x14ac:dyDescent="0.3">
      <c r="A27" s="1">
        <v>45980</v>
      </c>
      <c r="B27" t="s">
        <v>4</v>
      </c>
      <c r="C27">
        <v>0</v>
      </c>
      <c r="D27">
        <v>0</v>
      </c>
      <c r="E27" s="10" t="e">
        <f t="shared" si="0"/>
        <v>#N/A</v>
      </c>
      <c r="F27" s="7">
        <v>0</v>
      </c>
      <c r="H27">
        <v>99.5</v>
      </c>
    </row>
    <row r="28" spans="1:9" x14ac:dyDescent="0.3">
      <c r="A28" s="1">
        <v>45981</v>
      </c>
      <c r="B28" t="s">
        <v>5</v>
      </c>
      <c r="C28">
        <v>18</v>
      </c>
      <c r="D28">
        <v>18</v>
      </c>
      <c r="E28" s="10">
        <f t="shared" si="0"/>
        <v>1</v>
      </c>
      <c r="F28" s="7">
        <v>0</v>
      </c>
      <c r="H28">
        <v>99.5</v>
      </c>
      <c r="I28" t="s">
        <v>78</v>
      </c>
    </row>
    <row r="29" spans="1:9" x14ac:dyDescent="0.3">
      <c r="A29" s="1">
        <v>45981</v>
      </c>
      <c r="B29" t="s">
        <v>4</v>
      </c>
      <c r="C29">
        <v>0</v>
      </c>
      <c r="D29">
        <v>0</v>
      </c>
      <c r="E29" s="10" t="e">
        <f t="shared" si="0"/>
        <v>#N/A</v>
      </c>
      <c r="F29" s="7">
        <v>0</v>
      </c>
      <c r="H29">
        <v>99.5</v>
      </c>
    </row>
    <row r="30" spans="1:9" x14ac:dyDescent="0.3">
      <c r="A30" s="1">
        <v>45982</v>
      </c>
      <c r="B30" t="s">
        <v>5</v>
      </c>
      <c r="C30">
        <v>25</v>
      </c>
      <c r="D30">
        <v>25</v>
      </c>
      <c r="E30" s="10">
        <f t="shared" si="0"/>
        <v>1</v>
      </c>
      <c r="F30" s="7">
        <v>0</v>
      </c>
      <c r="H30">
        <v>99.5</v>
      </c>
      <c r="I30" t="s">
        <v>78</v>
      </c>
    </row>
    <row r="31" spans="1:9" x14ac:dyDescent="0.3">
      <c r="A31" s="1">
        <v>45982</v>
      </c>
      <c r="B31" t="s">
        <v>4</v>
      </c>
      <c r="C31">
        <v>0</v>
      </c>
      <c r="D31">
        <v>0</v>
      </c>
      <c r="E31" s="10" t="e">
        <f t="shared" si="0"/>
        <v>#N/A</v>
      </c>
      <c r="F31" s="7">
        <v>0</v>
      </c>
      <c r="H31">
        <v>99.5</v>
      </c>
    </row>
    <row r="32" spans="1:9" x14ac:dyDescent="0.3">
      <c r="A32" s="1">
        <v>45985</v>
      </c>
      <c r="B32" t="s">
        <v>5</v>
      </c>
      <c r="C32">
        <v>30</v>
      </c>
      <c r="D32">
        <v>30</v>
      </c>
      <c r="E32" s="10">
        <f t="shared" si="0"/>
        <v>1</v>
      </c>
      <c r="F32" s="7">
        <v>0</v>
      </c>
      <c r="H32">
        <v>99.5</v>
      </c>
      <c r="I32" t="s">
        <v>78</v>
      </c>
    </row>
    <row r="33" spans="1:9" x14ac:dyDescent="0.3">
      <c r="A33" s="1">
        <v>45985</v>
      </c>
      <c r="B33" t="s">
        <v>4</v>
      </c>
      <c r="C33">
        <v>0</v>
      </c>
      <c r="D33">
        <v>0</v>
      </c>
      <c r="E33" s="10" t="e">
        <f t="shared" si="0"/>
        <v>#N/A</v>
      </c>
      <c r="F33" s="7">
        <v>0</v>
      </c>
      <c r="H33">
        <v>99.5</v>
      </c>
    </row>
    <row r="34" spans="1:9" x14ac:dyDescent="0.3">
      <c r="A34" s="1">
        <v>45986</v>
      </c>
      <c r="B34" t="s">
        <v>5</v>
      </c>
      <c r="C34">
        <v>18</v>
      </c>
      <c r="D34">
        <v>18</v>
      </c>
      <c r="E34" s="10">
        <f t="shared" si="0"/>
        <v>1</v>
      </c>
      <c r="F34" s="7">
        <v>21068.34</v>
      </c>
      <c r="H34">
        <v>99.5</v>
      </c>
      <c r="I34" t="s">
        <v>79</v>
      </c>
    </row>
    <row r="35" spans="1:9" x14ac:dyDescent="0.3">
      <c r="A35" s="1">
        <v>45986</v>
      </c>
      <c r="B35" t="s">
        <v>4</v>
      </c>
      <c r="C35">
        <v>0</v>
      </c>
      <c r="D35">
        <v>0</v>
      </c>
      <c r="E35" s="10" t="e">
        <f t="shared" si="0"/>
        <v>#N/A</v>
      </c>
      <c r="F35" s="7">
        <v>0</v>
      </c>
      <c r="H35">
        <v>99.5</v>
      </c>
    </row>
    <row r="36" spans="1:9" x14ac:dyDescent="0.3">
      <c r="A36" s="1">
        <v>45987</v>
      </c>
      <c r="B36" t="s">
        <v>5</v>
      </c>
      <c r="C36">
        <v>50</v>
      </c>
      <c r="D36">
        <v>50</v>
      </c>
      <c r="E36" s="10">
        <f t="shared" si="0"/>
        <v>1</v>
      </c>
      <c r="F36" s="7">
        <v>0</v>
      </c>
      <c r="H36">
        <v>99.5</v>
      </c>
      <c r="I36" t="s">
        <v>80</v>
      </c>
    </row>
    <row r="37" spans="1:9" x14ac:dyDescent="0.3">
      <c r="A37" s="1">
        <v>45987</v>
      </c>
      <c r="B37" t="s">
        <v>4</v>
      </c>
      <c r="C37">
        <v>0</v>
      </c>
      <c r="D37">
        <v>0</v>
      </c>
      <c r="E37" s="10" t="e">
        <f t="shared" si="0"/>
        <v>#N/A</v>
      </c>
      <c r="F37" s="7">
        <v>0</v>
      </c>
      <c r="H37">
        <v>99.5</v>
      </c>
    </row>
    <row r="38" spans="1:9" x14ac:dyDescent="0.3">
      <c r="A38" s="1">
        <v>45992</v>
      </c>
      <c r="B38" t="s">
        <v>5</v>
      </c>
      <c r="C38">
        <v>25</v>
      </c>
      <c r="D38">
        <v>25</v>
      </c>
      <c r="E38" s="10">
        <f t="shared" si="0"/>
        <v>1</v>
      </c>
      <c r="F38" s="7">
        <v>0</v>
      </c>
      <c r="H38">
        <v>99.5</v>
      </c>
      <c r="I38" t="s">
        <v>79</v>
      </c>
    </row>
    <row r="39" spans="1:9" x14ac:dyDescent="0.3">
      <c r="A39" s="1">
        <v>45992</v>
      </c>
      <c r="B39" t="s">
        <v>4</v>
      </c>
      <c r="C39">
        <v>0</v>
      </c>
      <c r="D39">
        <v>0</v>
      </c>
      <c r="E39" s="10" t="e">
        <f t="shared" si="0"/>
        <v>#N/A</v>
      </c>
      <c r="F39" s="7">
        <v>0</v>
      </c>
      <c r="H39">
        <v>99.5</v>
      </c>
    </row>
    <row r="40" spans="1:9" x14ac:dyDescent="0.3">
      <c r="A40" s="1">
        <v>45993</v>
      </c>
      <c r="B40" t="s">
        <v>5</v>
      </c>
      <c r="C40">
        <v>30</v>
      </c>
      <c r="D40">
        <v>30</v>
      </c>
      <c r="E40" s="10">
        <f t="shared" si="0"/>
        <v>1</v>
      </c>
      <c r="F40" s="7">
        <v>0</v>
      </c>
      <c r="H40">
        <v>99.5</v>
      </c>
      <c r="I40" t="s">
        <v>81</v>
      </c>
    </row>
    <row r="41" spans="1:9" x14ac:dyDescent="0.3">
      <c r="A41" s="1">
        <v>45993</v>
      </c>
      <c r="B41" t="s">
        <v>4</v>
      </c>
      <c r="C41">
        <v>0</v>
      </c>
      <c r="D41">
        <v>0</v>
      </c>
      <c r="E41" s="10" t="e">
        <f t="shared" si="0"/>
        <v>#N/A</v>
      </c>
      <c r="F41" s="7">
        <v>0</v>
      </c>
      <c r="H41">
        <v>99.5</v>
      </c>
    </row>
    <row r="42" spans="1:9" x14ac:dyDescent="0.3">
      <c r="A42" s="1">
        <v>45994</v>
      </c>
      <c r="B42" t="s">
        <v>5</v>
      </c>
      <c r="C42">
        <v>20</v>
      </c>
      <c r="D42">
        <v>20</v>
      </c>
      <c r="E42" s="10">
        <f t="shared" si="0"/>
        <v>1</v>
      </c>
      <c r="F42" s="7">
        <v>0</v>
      </c>
      <c r="H42">
        <v>99.5</v>
      </c>
      <c r="I42" t="s">
        <v>82</v>
      </c>
    </row>
    <row r="43" spans="1:9" x14ac:dyDescent="0.3">
      <c r="A43" s="1">
        <v>45994</v>
      </c>
      <c r="B43" t="s">
        <v>4</v>
      </c>
      <c r="C43">
        <v>0</v>
      </c>
      <c r="D43">
        <v>0</v>
      </c>
      <c r="E43" s="10" t="e">
        <f t="shared" si="0"/>
        <v>#N/A</v>
      </c>
      <c r="F43" s="7">
        <v>0</v>
      </c>
      <c r="H43">
        <v>99.5</v>
      </c>
    </row>
    <row r="44" spans="1:9" x14ac:dyDescent="0.3">
      <c r="A44" s="1">
        <v>45995</v>
      </c>
      <c r="B44" t="s">
        <v>5</v>
      </c>
      <c r="C44">
        <v>80</v>
      </c>
      <c r="D44">
        <v>80</v>
      </c>
      <c r="E44" s="10">
        <f t="shared" si="0"/>
        <v>1</v>
      </c>
      <c r="F44" s="7">
        <v>0</v>
      </c>
      <c r="H44">
        <v>99.5</v>
      </c>
      <c r="I44" t="s">
        <v>82</v>
      </c>
    </row>
    <row r="45" spans="1:9" x14ac:dyDescent="0.3">
      <c r="A45" s="1">
        <v>45995</v>
      </c>
      <c r="B45" t="s">
        <v>4</v>
      </c>
      <c r="C45">
        <v>0</v>
      </c>
      <c r="D45">
        <v>0</v>
      </c>
      <c r="E45" s="10" t="e">
        <f t="shared" si="0"/>
        <v>#N/A</v>
      </c>
      <c r="F45" s="7">
        <v>0</v>
      </c>
      <c r="H45">
        <v>99.5</v>
      </c>
    </row>
    <row r="46" spans="1:9" x14ac:dyDescent="0.3">
      <c r="A46" s="1">
        <v>45996</v>
      </c>
      <c r="B46" t="s">
        <v>5</v>
      </c>
      <c r="C46">
        <v>65</v>
      </c>
      <c r="D46">
        <v>65</v>
      </c>
      <c r="E46" s="10">
        <f t="shared" si="0"/>
        <v>1</v>
      </c>
      <c r="F46" s="7">
        <v>0</v>
      </c>
      <c r="H46">
        <v>99.5</v>
      </c>
      <c r="I46" t="s">
        <v>82</v>
      </c>
    </row>
    <row r="47" spans="1:9" x14ac:dyDescent="0.3">
      <c r="A47" s="1">
        <v>45996</v>
      </c>
      <c r="B47" t="s">
        <v>4</v>
      </c>
      <c r="C47">
        <v>0</v>
      </c>
      <c r="D47">
        <v>0</v>
      </c>
      <c r="E47" s="10" t="e">
        <f t="shared" si="0"/>
        <v>#N/A</v>
      </c>
      <c r="F47" s="7">
        <v>0</v>
      </c>
      <c r="H47">
        <v>99.5</v>
      </c>
    </row>
    <row r="48" spans="1:9" x14ac:dyDescent="0.3">
      <c r="A48" s="1">
        <v>45997</v>
      </c>
      <c r="B48" t="s">
        <v>5</v>
      </c>
      <c r="C48">
        <v>80</v>
      </c>
      <c r="D48">
        <v>80</v>
      </c>
      <c r="E48" s="10">
        <f t="shared" si="0"/>
        <v>1</v>
      </c>
      <c r="F48" s="7">
        <v>0</v>
      </c>
      <c r="H48">
        <v>99.5</v>
      </c>
      <c r="I48" t="s">
        <v>82</v>
      </c>
    </row>
    <row r="49" spans="1:9" x14ac:dyDescent="0.3">
      <c r="A49" s="1">
        <v>45997</v>
      </c>
      <c r="B49" t="s">
        <v>4</v>
      </c>
      <c r="C49">
        <v>0</v>
      </c>
      <c r="D49">
        <v>0</v>
      </c>
      <c r="E49" s="10" t="e">
        <f t="shared" si="0"/>
        <v>#N/A</v>
      </c>
      <c r="F49" s="7">
        <v>0</v>
      </c>
      <c r="H49">
        <v>99.5</v>
      </c>
    </row>
    <row r="50" spans="1:9" x14ac:dyDescent="0.3">
      <c r="A50" s="1">
        <v>45999</v>
      </c>
      <c r="B50" t="s">
        <v>5</v>
      </c>
      <c r="C50">
        <v>80</v>
      </c>
      <c r="D50">
        <v>80</v>
      </c>
      <c r="E50" s="10">
        <f t="shared" si="0"/>
        <v>1</v>
      </c>
      <c r="F50" s="7">
        <v>0</v>
      </c>
      <c r="H50">
        <v>99.5</v>
      </c>
      <c r="I50" t="s">
        <v>122</v>
      </c>
    </row>
    <row r="51" spans="1:9" x14ac:dyDescent="0.3">
      <c r="A51" s="1">
        <v>45999</v>
      </c>
      <c r="B51" t="s">
        <v>4</v>
      </c>
      <c r="C51">
        <v>0</v>
      </c>
      <c r="D51">
        <v>0</v>
      </c>
      <c r="E51" s="10" t="e">
        <f t="shared" si="0"/>
        <v>#N/A</v>
      </c>
      <c r="F51" s="7">
        <v>0</v>
      </c>
      <c r="H51">
        <v>99.5</v>
      </c>
    </row>
    <row r="52" spans="1:9" x14ac:dyDescent="0.3">
      <c r="A52" s="1">
        <v>46000</v>
      </c>
      <c r="B52" t="s">
        <v>5</v>
      </c>
      <c r="C52">
        <v>40</v>
      </c>
      <c r="D52">
        <v>40</v>
      </c>
      <c r="E52" s="10">
        <f t="shared" si="0"/>
        <v>1</v>
      </c>
      <c r="F52" s="7">
        <v>0</v>
      </c>
      <c r="H52">
        <v>99.5</v>
      </c>
      <c r="I52" t="s">
        <v>122</v>
      </c>
    </row>
    <row r="53" spans="1:9" x14ac:dyDescent="0.3">
      <c r="A53" s="1">
        <v>46000</v>
      </c>
      <c r="B53" t="s">
        <v>4</v>
      </c>
      <c r="C53">
        <v>0</v>
      </c>
      <c r="D53">
        <v>0</v>
      </c>
      <c r="E53" s="10" t="e">
        <f t="shared" si="0"/>
        <v>#N/A</v>
      </c>
      <c r="F53" s="7">
        <v>0</v>
      </c>
      <c r="H53">
        <v>99.5</v>
      </c>
    </row>
    <row r="54" spans="1:9" x14ac:dyDescent="0.3">
      <c r="A54" s="1">
        <v>46001</v>
      </c>
      <c r="B54" t="s">
        <v>5</v>
      </c>
      <c r="C54">
        <v>40</v>
      </c>
      <c r="D54">
        <v>40</v>
      </c>
      <c r="E54" s="10">
        <f t="shared" si="0"/>
        <v>1</v>
      </c>
      <c r="F54" s="7">
        <v>0</v>
      </c>
      <c r="H54">
        <v>99.5</v>
      </c>
    </row>
    <row r="55" spans="1:9" x14ac:dyDescent="0.3">
      <c r="A55" s="1">
        <v>46001</v>
      </c>
      <c r="B55" t="s">
        <v>4</v>
      </c>
      <c r="C55">
        <v>0</v>
      </c>
      <c r="D55">
        <v>0</v>
      </c>
      <c r="E55" s="10" t="e">
        <f t="shared" si="0"/>
        <v>#N/A</v>
      </c>
      <c r="F55" s="7">
        <v>0</v>
      </c>
      <c r="H55">
        <v>99.5</v>
      </c>
    </row>
    <row r="56" spans="1:9" x14ac:dyDescent="0.3">
      <c r="A56" s="1">
        <v>46002</v>
      </c>
      <c r="B56" t="s">
        <v>5</v>
      </c>
      <c r="H56">
        <v>99.5</v>
      </c>
    </row>
    <row r="57" spans="1:9" x14ac:dyDescent="0.3">
      <c r="A57" s="1">
        <v>46002</v>
      </c>
      <c r="B57" t="s">
        <v>4</v>
      </c>
      <c r="H57">
        <v>99.5</v>
      </c>
    </row>
    <row r="58" spans="1:9" x14ac:dyDescent="0.3">
      <c r="A58" s="1">
        <v>46003</v>
      </c>
      <c r="B58" t="s">
        <v>5</v>
      </c>
      <c r="H58">
        <v>99.5</v>
      </c>
    </row>
    <row r="59" spans="1:9" x14ac:dyDescent="0.3">
      <c r="A59" s="1">
        <v>46003</v>
      </c>
      <c r="B59" t="s">
        <v>4</v>
      </c>
      <c r="H59">
        <v>99.5</v>
      </c>
    </row>
    <row r="60" spans="1:9" x14ac:dyDescent="0.3">
      <c r="A60" s="1">
        <v>46006</v>
      </c>
      <c r="B60" t="s">
        <v>5</v>
      </c>
      <c r="H60">
        <v>99.5</v>
      </c>
    </row>
    <row r="61" spans="1:9" x14ac:dyDescent="0.3">
      <c r="A61" s="1">
        <v>46006</v>
      </c>
      <c r="B61" t="s">
        <v>4</v>
      </c>
      <c r="H61">
        <v>99.5</v>
      </c>
    </row>
    <row r="62" spans="1:9" x14ac:dyDescent="0.3">
      <c r="A62" s="1">
        <v>46007</v>
      </c>
      <c r="B62" t="s">
        <v>5</v>
      </c>
      <c r="H62">
        <v>99.5</v>
      </c>
    </row>
    <row r="63" spans="1:9" x14ac:dyDescent="0.3">
      <c r="A63" s="1">
        <v>46007</v>
      </c>
      <c r="B63" t="s">
        <v>4</v>
      </c>
      <c r="H63">
        <v>99.5</v>
      </c>
    </row>
    <row r="64" spans="1:9" x14ac:dyDescent="0.3">
      <c r="A64" s="1">
        <v>46008</v>
      </c>
      <c r="B64" t="s">
        <v>5</v>
      </c>
      <c r="H64">
        <v>99.5</v>
      </c>
    </row>
    <row r="65" spans="1:8" x14ac:dyDescent="0.3">
      <c r="A65" s="1">
        <v>46008</v>
      </c>
      <c r="B65" t="s">
        <v>4</v>
      </c>
      <c r="H65">
        <v>99.5</v>
      </c>
    </row>
    <row r="66" spans="1:8" x14ac:dyDescent="0.3">
      <c r="A66" s="1">
        <v>46009</v>
      </c>
      <c r="B66" t="s">
        <v>5</v>
      </c>
      <c r="H66">
        <v>99.5</v>
      </c>
    </row>
    <row r="67" spans="1:8" x14ac:dyDescent="0.3">
      <c r="A67" s="1">
        <v>46009</v>
      </c>
      <c r="B67" t="s">
        <v>4</v>
      </c>
      <c r="H67">
        <v>99.5</v>
      </c>
    </row>
    <row r="68" spans="1:8" x14ac:dyDescent="0.3">
      <c r="A68" s="1">
        <v>46010</v>
      </c>
      <c r="B68" t="s">
        <v>5</v>
      </c>
      <c r="H68">
        <v>99.5</v>
      </c>
    </row>
    <row r="69" spans="1:8" x14ac:dyDescent="0.3">
      <c r="A69" s="1">
        <v>46010</v>
      </c>
      <c r="B69" t="s">
        <v>4</v>
      </c>
      <c r="H69">
        <v>99.5</v>
      </c>
    </row>
    <row r="70" spans="1:8" x14ac:dyDescent="0.3">
      <c r="A70" s="1">
        <v>46013</v>
      </c>
      <c r="B70" t="s">
        <v>5</v>
      </c>
      <c r="H70">
        <v>99.5</v>
      </c>
    </row>
    <row r="71" spans="1:8" x14ac:dyDescent="0.3">
      <c r="A71" s="1">
        <v>46013</v>
      </c>
      <c r="B71" t="s">
        <v>4</v>
      </c>
      <c r="H71">
        <v>99.5</v>
      </c>
    </row>
    <row r="72" spans="1:8" x14ac:dyDescent="0.3">
      <c r="A72" s="1">
        <v>46014</v>
      </c>
      <c r="B72" t="s">
        <v>5</v>
      </c>
      <c r="H72">
        <v>99.5</v>
      </c>
    </row>
    <row r="73" spans="1:8" x14ac:dyDescent="0.3">
      <c r="A73" s="1">
        <v>46014</v>
      </c>
      <c r="B73" t="s">
        <v>4</v>
      </c>
      <c r="H73">
        <v>99.5</v>
      </c>
    </row>
    <row r="74" spans="1:8" x14ac:dyDescent="0.3">
      <c r="A74" s="1">
        <v>46015</v>
      </c>
      <c r="B74" t="s">
        <v>5</v>
      </c>
      <c r="H74">
        <v>99.5</v>
      </c>
    </row>
    <row r="75" spans="1:8" x14ac:dyDescent="0.3">
      <c r="A75" s="1">
        <v>46015</v>
      </c>
      <c r="B75" t="s">
        <v>4</v>
      </c>
      <c r="H75">
        <v>99.5</v>
      </c>
    </row>
    <row r="76" spans="1:8" x14ac:dyDescent="0.3">
      <c r="A76" s="1">
        <v>46020</v>
      </c>
      <c r="B76" t="s">
        <v>5</v>
      </c>
      <c r="H76">
        <v>99.5</v>
      </c>
    </row>
    <row r="77" spans="1:8" x14ac:dyDescent="0.3">
      <c r="A77" s="1">
        <v>46020</v>
      </c>
      <c r="B77" t="s">
        <v>4</v>
      </c>
      <c r="H77">
        <v>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1584-237A-4E1E-B25D-7714DA78D668}">
  <dimension ref="A1:L115"/>
  <sheetViews>
    <sheetView workbookViewId="0">
      <pane xSplit="2" ySplit="1" topLeftCell="C95" activePane="bottomRight" state="frozen"/>
      <selection pane="topRight" activeCell="D1" sqref="D1"/>
      <selection pane="bottomLeft" activeCell="A2" sqref="A2"/>
      <selection pane="bottomRight" activeCell="L115" sqref="L115"/>
    </sheetView>
  </sheetViews>
  <sheetFormatPr defaultRowHeight="14.4" x14ac:dyDescent="0.3"/>
  <cols>
    <col min="1" max="1" width="11.5546875" bestFit="1" customWidth="1"/>
    <col min="2" max="2" width="8" bestFit="1" customWidth="1"/>
    <col min="3" max="3" width="8.77734375" style="5" bestFit="1" customWidth="1"/>
    <col min="4" max="4" width="15.77734375" bestFit="1" customWidth="1"/>
    <col min="5" max="5" width="13.33203125" bestFit="1" customWidth="1"/>
    <col min="6" max="6" width="10.6640625" style="5" bestFit="1" customWidth="1"/>
    <col min="7" max="7" width="7.77734375" bestFit="1" customWidth="1"/>
    <col min="8" max="8" width="8.5546875" customWidth="1"/>
    <col min="9" max="9" width="10" bestFit="1" customWidth="1"/>
    <col min="10" max="10" width="52.44140625" bestFit="1" customWidth="1"/>
    <col min="11" max="11" width="36.33203125" bestFit="1" customWidth="1"/>
    <col min="12" max="12" width="22.44140625" bestFit="1" customWidth="1"/>
    <col min="13" max="13" width="19.44140625" bestFit="1" customWidth="1"/>
  </cols>
  <sheetData>
    <row r="1" spans="1:12" x14ac:dyDescent="0.3">
      <c r="A1" s="2" t="s">
        <v>0</v>
      </c>
      <c r="B1" s="2" t="s">
        <v>6</v>
      </c>
      <c r="C1" s="4" t="s">
        <v>13</v>
      </c>
      <c r="D1" s="2" t="s">
        <v>14</v>
      </c>
      <c r="E1" s="2" t="s">
        <v>15</v>
      </c>
      <c r="F1" s="4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120</v>
      </c>
    </row>
    <row r="2" spans="1:12" x14ac:dyDescent="0.3">
      <c r="A2" s="1">
        <v>45971</v>
      </c>
      <c r="B2" t="s">
        <v>7</v>
      </c>
      <c r="C2" s="5">
        <v>0</v>
      </c>
      <c r="D2">
        <v>80</v>
      </c>
      <c r="E2">
        <v>0</v>
      </c>
      <c r="F2" s="5">
        <f>IFERROR(E2/D2, NA())</f>
        <v>0</v>
      </c>
      <c r="K2" t="s">
        <v>85</v>
      </c>
    </row>
    <row r="3" spans="1:12" x14ac:dyDescent="0.3">
      <c r="A3" s="1">
        <v>45971</v>
      </c>
      <c r="B3" t="s">
        <v>8</v>
      </c>
      <c r="C3" s="5">
        <v>0</v>
      </c>
      <c r="D3">
        <v>0</v>
      </c>
      <c r="E3">
        <v>0</v>
      </c>
      <c r="F3" s="5" t="e">
        <f t="shared" ref="F3:F66" si="0">IFERROR(E3/D3, NA())</f>
        <v>#N/A</v>
      </c>
    </row>
    <row r="4" spans="1:12" x14ac:dyDescent="0.3">
      <c r="A4" s="1">
        <v>45971</v>
      </c>
      <c r="B4" t="s">
        <v>9</v>
      </c>
      <c r="C4" s="5">
        <v>0</v>
      </c>
      <c r="D4">
        <v>100</v>
      </c>
      <c r="E4">
        <v>0</v>
      </c>
      <c r="F4" s="5">
        <f t="shared" si="0"/>
        <v>0</v>
      </c>
    </row>
    <row r="5" spans="1:12" x14ac:dyDescent="0.3">
      <c r="A5" s="1">
        <v>45971</v>
      </c>
      <c r="B5" t="s">
        <v>10</v>
      </c>
      <c r="C5" s="5">
        <v>0.55000000000000004</v>
      </c>
      <c r="D5">
        <v>95</v>
      </c>
      <c r="E5">
        <v>0</v>
      </c>
      <c r="F5" s="5">
        <f t="shared" si="0"/>
        <v>0</v>
      </c>
    </row>
    <row r="6" spans="1:12" x14ac:dyDescent="0.3">
      <c r="A6" s="1">
        <v>45971</v>
      </c>
      <c r="B6" t="s">
        <v>11</v>
      </c>
      <c r="C6" s="5">
        <v>0</v>
      </c>
      <c r="D6">
        <v>0</v>
      </c>
      <c r="E6">
        <v>0</v>
      </c>
      <c r="F6" s="5" t="e">
        <f t="shared" si="0"/>
        <v>#N/A</v>
      </c>
    </row>
    <row r="7" spans="1:12" x14ac:dyDescent="0.3">
      <c r="A7" s="1">
        <v>45971</v>
      </c>
      <c r="B7" t="s">
        <v>12</v>
      </c>
      <c r="C7" s="5">
        <v>0</v>
      </c>
      <c r="D7">
        <v>100</v>
      </c>
      <c r="E7">
        <v>0</v>
      </c>
      <c r="F7" s="5">
        <f t="shared" si="0"/>
        <v>0</v>
      </c>
    </row>
    <row r="8" spans="1:12" x14ac:dyDescent="0.3">
      <c r="A8" s="1">
        <v>45972</v>
      </c>
      <c r="B8" t="s">
        <v>7</v>
      </c>
      <c r="C8" s="5">
        <v>0</v>
      </c>
      <c r="D8">
        <v>0</v>
      </c>
      <c r="E8">
        <v>0</v>
      </c>
      <c r="F8" s="5" t="e">
        <f t="shared" si="0"/>
        <v>#N/A</v>
      </c>
    </row>
    <row r="9" spans="1:12" x14ac:dyDescent="0.3">
      <c r="A9" s="1">
        <v>45972</v>
      </c>
      <c r="B9" t="s">
        <v>8</v>
      </c>
      <c r="C9" s="5">
        <v>0.38</v>
      </c>
      <c r="D9">
        <v>0</v>
      </c>
      <c r="E9">
        <v>0</v>
      </c>
      <c r="F9" s="5" t="e">
        <f t="shared" si="0"/>
        <v>#N/A</v>
      </c>
    </row>
    <row r="10" spans="1:12" x14ac:dyDescent="0.3">
      <c r="A10" s="1">
        <v>45972</v>
      </c>
      <c r="B10" t="s">
        <v>9</v>
      </c>
      <c r="C10" s="5">
        <v>0.35</v>
      </c>
      <c r="D10">
        <v>0</v>
      </c>
      <c r="E10">
        <v>0</v>
      </c>
      <c r="F10" s="5" t="e">
        <f t="shared" si="0"/>
        <v>#N/A</v>
      </c>
    </row>
    <row r="11" spans="1:12" x14ac:dyDescent="0.3">
      <c r="A11" s="1">
        <v>45972</v>
      </c>
      <c r="B11" t="s">
        <v>10</v>
      </c>
      <c r="C11" s="5">
        <v>0.53</v>
      </c>
      <c r="D11">
        <v>0</v>
      </c>
      <c r="E11">
        <v>0</v>
      </c>
      <c r="F11" s="5" t="e">
        <f t="shared" si="0"/>
        <v>#N/A</v>
      </c>
    </row>
    <row r="12" spans="1:12" x14ac:dyDescent="0.3">
      <c r="A12" s="1">
        <v>45972</v>
      </c>
      <c r="B12" t="s">
        <v>11</v>
      </c>
      <c r="C12" s="5">
        <v>0</v>
      </c>
      <c r="D12">
        <v>0</v>
      </c>
      <c r="E12">
        <v>0</v>
      </c>
      <c r="F12" s="5" t="e">
        <f t="shared" si="0"/>
        <v>#N/A</v>
      </c>
    </row>
    <row r="13" spans="1:12" x14ac:dyDescent="0.3">
      <c r="A13" s="1">
        <v>45972</v>
      </c>
      <c r="B13" t="s">
        <v>12</v>
      </c>
      <c r="C13" s="5">
        <v>0</v>
      </c>
      <c r="D13">
        <v>0</v>
      </c>
      <c r="E13">
        <v>0</v>
      </c>
      <c r="F13" s="5" t="e">
        <f t="shared" si="0"/>
        <v>#N/A</v>
      </c>
    </row>
    <row r="14" spans="1:12" x14ac:dyDescent="0.3">
      <c r="A14" s="1">
        <v>45973</v>
      </c>
      <c r="B14" t="s">
        <v>7</v>
      </c>
      <c r="C14" s="5">
        <v>0</v>
      </c>
      <c r="D14">
        <v>96</v>
      </c>
      <c r="E14">
        <v>0</v>
      </c>
      <c r="F14" s="5">
        <f t="shared" si="0"/>
        <v>0</v>
      </c>
      <c r="K14" t="s">
        <v>87</v>
      </c>
    </row>
    <row r="15" spans="1:12" x14ac:dyDescent="0.3">
      <c r="A15" s="1">
        <v>45973</v>
      </c>
      <c r="B15" t="s">
        <v>8</v>
      </c>
      <c r="C15" s="5">
        <v>0.62</v>
      </c>
      <c r="D15">
        <v>103</v>
      </c>
      <c r="E15">
        <v>0</v>
      </c>
      <c r="F15" s="5">
        <f t="shared" si="0"/>
        <v>0</v>
      </c>
    </row>
    <row r="16" spans="1:12" x14ac:dyDescent="0.3">
      <c r="A16" s="1">
        <v>45973</v>
      </c>
      <c r="B16" t="s">
        <v>9</v>
      </c>
      <c r="C16" s="5">
        <v>0.56000000000000005</v>
      </c>
      <c r="D16">
        <v>103</v>
      </c>
      <c r="E16">
        <v>0</v>
      </c>
      <c r="F16" s="5">
        <f t="shared" si="0"/>
        <v>0</v>
      </c>
    </row>
    <row r="17" spans="1:11" x14ac:dyDescent="0.3">
      <c r="A17" s="1">
        <v>45973</v>
      </c>
      <c r="B17" t="s">
        <v>10</v>
      </c>
      <c r="C17" s="5">
        <v>0.55000000000000004</v>
      </c>
      <c r="D17">
        <v>81</v>
      </c>
      <c r="E17">
        <v>0</v>
      </c>
      <c r="F17" s="5">
        <f t="shared" si="0"/>
        <v>0</v>
      </c>
      <c r="J17" t="s">
        <v>86</v>
      </c>
    </row>
    <row r="18" spans="1:11" x14ac:dyDescent="0.3">
      <c r="A18" s="1">
        <v>45973</v>
      </c>
      <c r="B18" t="s">
        <v>11</v>
      </c>
      <c r="C18" s="5">
        <v>0</v>
      </c>
      <c r="D18">
        <v>0</v>
      </c>
      <c r="E18">
        <v>0</v>
      </c>
      <c r="F18" s="5" t="e">
        <f t="shared" si="0"/>
        <v>#N/A</v>
      </c>
    </row>
    <row r="19" spans="1:11" x14ac:dyDescent="0.3">
      <c r="A19" s="1">
        <v>45973</v>
      </c>
      <c r="B19" t="s">
        <v>12</v>
      </c>
      <c r="C19" s="5">
        <v>0.66</v>
      </c>
      <c r="D19">
        <v>100</v>
      </c>
      <c r="E19">
        <v>0</v>
      </c>
      <c r="F19" s="5">
        <f t="shared" si="0"/>
        <v>0</v>
      </c>
    </row>
    <row r="20" spans="1:11" x14ac:dyDescent="0.3">
      <c r="A20" s="1">
        <v>45974</v>
      </c>
      <c r="B20" t="s">
        <v>7</v>
      </c>
      <c r="C20" s="5">
        <v>0</v>
      </c>
      <c r="D20">
        <v>4638</v>
      </c>
      <c r="E20">
        <v>4341</v>
      </c>
      <c r="F20" s="5">
        <f t="shared" si="0"/>
        <v>0.93596377749029758</v>
      </c>
      <c r="K20" t="s">
        <v>88</v>
      </c>
    </row>
    <row r="21" spans="1:11" x14ac:dyDescent="0.3">
      <c r="A21" s="1">
        <v>45974</v>
      </c>
      <c r="B21" t="s">
        <v>8</v>
      </c>
      <c r="C21" s="5">
        <v>0.83</v>
      </c>
      <c r="D21">
        <v>3488</v>
      </c>
      <c r="E21">
        <v>3630</v>
      </c>
      <c r="F21" s="5">
        <f t="shared" si="0"/>
        <v>1.0407110091743119</v>
      </c>
      <c r="G21" t="s">
        <v>61</v>
      </c>
      <c r="H21" t="s">
        <v>61</v>
      </c>
    </row>
    <row r="22" spans="1:11" x14ac:dyDescent="0.3">
      <c r="A22" s="1">
        <v>45974</v>
      </c>
      <c r="B22" t="s">
        <v>9</v>
      </c>
      <c r="C22" s="5">
        <v>0.61</v>
      </c>
      <c r="D22">
        <v>2200</v>
      </c>
      <c r="E22">
        <v>0</v>
      </c>
      <c r="F22" s="5">
        <f t="shared" si="0"/>
        <v>0</v>
      </c>
      <c r="G22" t="s">
        <v>61</v>
      </c>
      <c r="H22" t="s">
        <v>61</v>
      </c>
    </row>
    <row r="23" spans="1:11" x14ac:dyDescent="0.3">
      <c r="A23" s="1">
        <v>45974</v>
      </c>
      <c r="B23" t="s">
        <v>10</v>
      </c>
      <c r="C23" s="5">
        <v>0.59</v>
      </c>
      <c r="D23">
        <v>16000</v>
      </c>
      <c r="E23">
        <v>14392</v>
      </c>
      <c r="F23" s="5">
        <f t="shared" si="0"/>
        <v>0.89949999999999997</v>
      </c>
      <c r="G23" t="s">
        <v>61</v>
      </c>
      <c r="H23" t="s">
        <v>61</v>
      </c>
      <c r="I23">
        <v>210</v>
      </c>
    </row>
    <row r="24" spans="1:11" x14ac:dyDescent="0.3">
      <c r="A24" s="1">
        <v>45974</v>
      </c>
      <c r="B24" t="s">
        <v>11</v>
      </c>
      <c r="C24" s="5">
        <v>0</v>
      </c>
      <c r="D24">
        <v>0</v>
      </c>
      <c r="E24">
        <v>0</v>
      </c>
      <c r="F24" s="5" t="e">
        <f t="shared" si="0"/>
        <v>#N/A</v>
      </c>
    </row>
    <row r="25" spans="1:11" x14ac:dyDescent="0.3">
      <c r="A25" s="1">
        <v>45974</v>
      </c>
      <c r="B25" t="s">
        <v>12</v>
      </c>
      <c r="C25" s="5">
        <v>0.52</v>
      </c>
      <c r="D25">
        <v>2500</v>
      </c>
      <c r="E25">
        <v>1901</v>
      </c>
      <c r="F25" s="5">
        <f t="shared" si="0"/>
        <v>0.76039999999999996</v>
      </c>
      <c r="G25" t="s">
        <v>61</v>
      </c>
      <c r="H25" t="s">
        <v>61</v>
      </c>
      <c r="I25">
        <v>210</v>
      </c>
    </row>
    <row r="26" spans="1:11" x14ac:dyDescent="0.3">
      <c r="A26" s="1">
        <v>45975</v>
      </c>
      <c r="B26" t="s">
        <v>7</v>
      </c>
      <c r="C26" s="5">
        <v>0</v>
      </c>
      <c r="D26">
        <v>4920</v>
      </c>
      <c r="E26">
        <v>4988</v>
      </c>
      <c r="F26" s="5">
        <f t="shared" si="0"/>
        <v>1.0138211382113822</v>
      </c>
      <c r="K26" t="s">
        <v>89</v>
      </c>
    </row>
    <row r="27" spans="1:11" x14ac:dyDescent="0.3">
      <c r="A27" s="1">
        <v>45975</v>
      </c>
      <c r="B27" t="s">
        <v>8</v>
      </c>
      <c r="C27" s="5">
        <v>0.52</v>
      </c>
      <c r="D27">
        <v>1400</v>
      </c>
      <c r="E27">
        <v>1444</v>
      </c>
      <c r="F27" s="5">
        <f t="shared" si="0"/>
        <v>1.0314285714285714</v>
      </c>
      <c r="G27" t="s">
        <v>83</v>
      </c>
      <c r="H27" t="s">
        <v>61</v>
      </c>
    </row>
    <row r="28" spans="1:11" x14ac:dyDescent="0.3">
      <c r="A28" s="1">
        <v>45975</v>
      </c>
      <c r="B28" t="s">
        <v>9</v>
      </c>
      <c r="C28" s="5">
        <v>0.55000000000000004</v>
      </c>
      <c r="D28">
        <v>2200</v>
      </c>
      <c r="E28">
        <v>2106</v>
      </c>
      <c r="F28" s="5">
        <f t="shared" si="0"/>
        <v>0.95727272727272728</v>
      </c>
      <c r="G28" t="s">
        <v>61</v>
      </c>
      <c r="H28" t="s">
        <v>61</v>
      </c>
    </row>
    <row r="29" spans="1:11" x14ac:dyDescent="0.3">
      <c r="A29" s="1">
        <v>45975</v>
      </c>
      <c r="B29" t="s">
        <v>10</v>
      </c>
      <c r="C29" s="5">
        <v>0.54</v>
      </c>
      <c r="D29">
        <v>13958</v>
      </c>
      <c r="E29">
        <v>8238</v>
      </c>
      <c r="F29" s="5">
        <f t="shared" si="0"/>
        <v>0.5901991689353776</v>
      </c>
      <c r="G29" t="s">
        <v>83</v>
      </c>
      <c r="H29" t="s">
        <v>61</v>
      </c>
    </row>
    <row r="30" spans="1:11" x14ac:dyDescent="0.3">
      <c r="A30" s="1">
        <v>45975</v>
      </c>
      <c r="B30" t="s">
        <v>11</v>
      </c>
      <c r="C30" s="5">
        <v>0</v>
      </c>
      <c r="D30">
        <v>0</v>
      </c>
      <c r="E30">
        <v>0</v>
      </c>
      <c r="F30" s="5" t="e">
        <f t="shared" si="0"/>
        <v>#N/A</v>
      </c>
    </row>
    <row r="31" spans="1:11" x14ac:dyDescent="0.3">
      <c r="A31" s="1">
        <v>45975</v>
      </c>
      <c r="B31" t="s">
        <v>12</v>
      </c>
      <c r="C31" s="5">
        <v>0.44</v>
      </c>
      <c r="D31">
        <v>2500</v>
      </c>
      <c r="E31">
        <v>2110</v>
      </c>
      <c r="F31" s="5">
        <f t="shared" si="0"/>
        <v>0.84399999999999997</v>
      </c>
      <c r="G31" t="s">
        <v>61</v>
      </c>
      <c r="H31" t="s">
        <v>61</v>
      </c>
    </row>
    <row r="32" spans="1:11" x14ac:dyDescent="0.3">
      <c r="A32" s="1">
        <v>45976</v>
      </c>
      <c r="B32" t="s">
        <v>7</v>
      </c>
      <c r="C32" s="5">
        <v>0</v>
      </c>
      <c r="D32">
        <v>0</v>
      </c>
      <c r="E32">
        <v>0</v>
      </c>
      <c r="F32" s="5" t="e">
        <f t="shared" si="0"/>
        <v>#N/A</v>
      </c>
    </row>
    <row r="33" spans="1:11" x14ac:dyDescent="0.3">
      <c r="A33" s="1">
        <v>45976</v>
      </c>
      <c r="B33" t="s">
        <v>8</v>
      </c>
      <c r="C33" s="5">
        <v>0</v>
      </c>
      <c r="D33">
        <v>0</v>
      </c>
      <c r="E33">
        <v>0</v>
      </c>
      <c r="F33" s="5" t="e">
        <f t="shared" si="0"/>
        <v>#N/A</v>
      </c>
    </row>
    <row r="34" spans="1:11" x14ac:dyDescent="0.3">
      <c r="A34" s="1">
        <v>45976</v>
      </c>
      <c r="B34" t="s">
        <v>9</v>
      </c>
      <c r="C34" s="5">
        <v>0</v>
      </c>
      <c r="D34">
        <v>0</v>
      </c>
      <c r="E34">
        <v>2206</v>
      </c>
      <c r="F34" s="5" t="e">
        <f t="shared" si="0"/>
        <v>#N/A</v>
      </c>
    </row>
    <row r="35" spans="1:11" x14ac:dyDescent="0.3">
      <c r="A35" s="1">
        <v>45976</v>
      </c>
      <c r="B35" t="s">
        <v>10</v>
      </c>
      <c r="C35" s="5">
        <v>0</v>
      </c>
      <c r="D35">
        <v>0</v>
      </c>
      <c r="E35">
        <v>0</v>
      </c>
      <c r="F35" s="5" t="e">
        <f t="shared" si="0"/>
        <v>#N/A</v>
      </c>
    </row>
    <row r="36" spans="1:11" x14ac:dyDescent="0.3">
      <c r="A36" s="1">
        <v>45976</v>
      </c>
      <c r="B36" t="s">
        <v>11</v>
      </c>
      <c r="C36" s="5">
        <v>0</v>
      </c>
      <c r="D36">
        <v>0</v>
      </c>
      <c r="E36">
        <v>0</v>
      </c>
      <c r="F36" s="5" t="e">
        <f t="shared" si="0"/>
        <v>#N/A</v>
      </c>
    </row>
    <row r="37" spans="1:11" x14ac:dyDescent="0.3">
      <c r="A37" s="1">
        <v>45976</v>
      </c>
      <c r="B37" t="s">
        <v>12</v>
      </c>
      <c r="C37" s="5">
        <v>0</v>
      </c>
      <c r="D37">
        <v>0</v>
      </c>
      <c r="E37">
        <v>0</v>
      </c>
      <c r="F37" s="5" t="e">
        <f t="shared" si="0"/>
        <v>#N/A</v>
      </c>
    </row>
    <row r="38" spans="1:11" x14ac:dyDescent="0.3">
      <c r="A38" s="1">
        <v>45978</v>
      </c>
      <c r="B38" t="s">
        <v>7</v>
      </c>
      <c r="C38" s="5">
        <v>0</v>
      </c>
      <c r="D38">
        <v>4194</v>
      </c>
      <c r="E38">
        <v>4050</v>
      </c>
      <c r="F38" s="5">
        <f t="shared" si="0"/>
        <v>0.96566523605150212</v>
      </c>
      <c r="K38" t="s">
        <v>90</v>
      </c>
    </row>
    <row r="39" spans="1:11" x14ac:dyDescent="0.3">
      <c r="A39" s="1">
        <v>45978</v>
      </c>
      <c r="B39" t="s">
        <v>8</v>
      </c>
      <c r="C39" s="5">
        <v>0.54</v>
      </c>
      <c r="D39">
        <v>1540</v>
      </c>
      <c r="E39">
        <v>1677</v>
      </c>
      <c r="F39" s="5">
        <f t="shared" si="0"/>
        <v>1.0889610389610389</v>
      </c>
      <c r="H39" t="s">
        <v>61</v>
      </c>
    </row>
    <row r="40" spans="1:11" x14ac:dyDescent="0.3">
      <c r="A40" s="1">
        <v>45978</v>
      </c>
      <c r="B40" t="s">
        <v>9</v>
      </c>
      <c r="C40" s="5">
        <v>0.65</v>
      </c>
      <c r="D40">
        <v>2200</v>
      </c>
      <c r="E40">
        <v>0</v>
      </c>
      <c r="F40" s="5">
        <f t="shared" si="0"/>
        <v>0</v>
      </c>
      <c r="G40" t="s">
        <v>83</v>
      </c>
      <c r="H40" t="s">
        <v>61</v>
      </c>
    </row>
    <row r="41" spans="1:11" x14ac:dyDescent="0.3">
      <c r="A41" s="1">
        <v>45978</v>
      </c>
      <c r="B41" t="s">
        <v>10</v>
      </c>
      <c r="C41" s="5">
        <v>0.61</v>
      </c>
      <c r="D41">
        <v>14001</v>
      </c>
      <c r="E41">
        <v>13852</v>
      </c>
      <c r="F41" s="5">
        <f t="shared" si="0"/>
        <v>0.98935790300692805</v>
      </c>
      <c r="G41" t="s">
        <v>83</v>
      </c>
      <c r="H41" t="s">
        <v>61</v>
      </c>
    </row>
    <row r="42" spans="1:11" x14ac:dyDescent="0.3">
      <c r="A42" s="1">
        <v>45978</v>
      </c>
      <c r="B42" t="s">
        <v>11</v>
      </c>
      <c r="C42" s="5">
        <v>0</v>
      </c>
      <c r="D42">
        <v>0</v>
      </c>
      <c r="E42">
        <v>0</v>
      </c>
      <c r="F42" s="5" t="e">
        <f t="shared" si="0"/>
        <v>#N/A</v>
      </c>
    </row>
    <row r="43" spans="1:11" x14ac:dyDescent="0.3">
      <c r="A43" s="1">
        <v>45978</v>
      </c>
      <c r="B43" t="s">
        <v>12</v>
      </c>
      <c r="C43" s="5">
        <v>0.65</v>
      </c>
      <c r="D43">
        <v>2500</v>
      </c>
      <c r="E43">
        <v>2507</v>
      </c>
      <c r="F43" s="5">
        <f t="shared" si="0"/>
        <v>1.0027999999999999</v>
      </c>
      <c r="G43" t="s">
        <v>83</v>
      </c>
      <c r="H43" t="s">
        <v>61</v>
      </c>
    </row>
    <row r="44" spans="1:11" x14ac:dyDescent="0.3">
      <c r="A44" s="1">
        <v>45979</v>
      </c>
      <c r="B44" t="s">
        <v>7</v>
      </c>
      <c r="C44" s="5">
        <v>0</v>
      </c>
      <c r="D44">
        <v>0</v>
      </c>
      <c r="E44">
        <v>0</v>
      </c>
      <c r="F44" s="5" t="e">
        <f t="shared" si="0"/>
        <v>#N/A</v>
      </c>
      <c r="I44">
        <v>65</v>
      </c>
      <c r="J44" t="s">
        <v>86</v>
      </c>
      <c r="K44" t="s">
        <v>91</v>
      </c>
    </row>
    <row r="45" spans="1:11" x14ac:dyDescent="0.3">
      <c r="A45" s="1">
        <v>45979</v>
      </c>
      <c r="B45" t="s">
        <v>8</v>
      </c>
      <c r="C45" s="5">
        <v>0.5</v>
      </c>
      <c r="D45">
        <v>0</v>
      </c>
      <c r="E45">
        <v>0</v>
      </c>
      <c r="F45" s="5" t="e">
        <f t="shared" si="0"/>
        <v>#N/A</v>
      </c>
      <c r="G45" t="s">
        <v>61</v>
      </c>
      <c r="H45" t="s">
        <v>61</v>
      </c>
    </row>
    <row r="46" spans="1:11" x14ac:dyDescent="0.3">
      <c r="A46" s="1">
        <v>45979</v>
      </c>
      <c r="B46" t="s">
        <v>9</v>
      </c>
      <c r="C46" s="5">
        <v>0.33</v>
      </c>
      <c r="D46">
        <v>0</v>
      </c>
      <c r="E46">
        <v>2236</v>
      </c>
      <c r="F46" s="5" t="e">
        <f t="shared" si="0"/>
        <v>#N/A</v>
      </c>
      <c r="H46" t="s">
        <v>61</v>
      </c>
      <c r="I46">
        <v>180</v>
      </c>
    </row>
    <row r="47" spans="1:11" x14ac:dyDescent="0.3">
      <c r="A47" s="1">
        <v>45979</v>
      </c>
      <c r="B47" t="s">
        <v>10</v>
      </c>
      <c r="C47" s="5">
        <v>0.46</v>
      </c>
      <c r="D47">
        <v>0</v>
      </c>
      <c r="E47">
        <v>0</v>
      </c>
      <c r="F47" s="5" t="e">
        <f t="shared" si="0"/>
        <v>#N/A</v>
      </c>
      <c r="G47" t="s">
        <v>61</v>
      </c>
      <c r="H47" t="s">
        <v>61</v>
      </c>
      <c r="I47">
        <v>180</v>
      </c>
    </row>
    <row r="48" spans="1:11" x14ac:dyDescent="0.3">
      <c r="A48" s="1">
        <v>45979</v>
      </c>
      <c r="B48" t="s">
        <v>11</v>
      </c>
      <c r="C48" s="5">
        <v>0</v>
      </c>
      <c r="D48">
        <v>0</v>
      </c>
      <c r="E48">
        <v>0</v>
      </c>
      <c r="F48" s="5" t="e">
        <f t="shared" si="0"/>
        <v>#N/A</v>
      </c>
    </row>
    <row r="49" spans="1:11" x14ac:dyDescent="0.3">
      <c r="A49" s="1">
        <v>45979</v>
      </c>
      <c r="B49" t="s">
        <v>12</v>
      </c>
      <c r="C49" s="5">
        <v>0.33</v>
      </c>
      <c r="D49">
        <v>0</v>
      </c>
      <c r="E49">
        <v>0</v>
      </c>
      <c r="F49" s="5" t="e">
        <f t="shared" si="0"/>
        <v>#N/A</v>
      </c>
      <c r="H49" t="s">
        <v>61</v>
      </c>
      <c r="I49">
        <v>60</v>
      </c>
    </row>
    <row r="50" spans="1:11" x14ac:dyDescent="0.3">
      <c r="A50" s="1">
        <v>45980</v>
      </c>
      <c r="B50" t="s">
        <v>7</v>
      </c>
      <c r="C50" s="5">
        <v>0</v>
      </c>
      <c r="D50">
        <v>24229</v>
      </c>
      <c r="E50">
        <v>27138</v>
      </c>
      <c r="F50" s="5">
        <f t="shared" si="0"/>
        <v>1.1200627347393619</v>
      </c>
      <c r="K50" t="s">
        <v>92</v>
      </c>
    </row>
    <row r="51" spans="1:11" x14ac:dyDescent="0.3">
      <c r="A51" s="1">
        <v>45980</v>
      </c>
      <c r="B51" t="s">
        <v>8</v>
      </c>
      <c r="C51" s="5">
        <v>0.71</v>
      </c>
      <c r="D51">
        <v>6962</v>
      </c>
      <c r="E51">
        <v>7605</v>
      </c>
      <c r="F51" s="5">
        <f t="shared" si="0"/>
        <v>1.0923585176673369</v>
      </c>
      <c r="G51" t="s">
        <v>61</v>
      </c>
      <c r="H51" t="s">
        <v>61</v>
      </c>
    </row>
    <row r="52" spans="1:11" x14ac:dyDescent="0.3">
      <c r="A52" s="1">
        <v>45980</v>
      </c>
      <c r="B52" t="s">
        <v>9</v>
      </c>
      <c r="C52" s="5">
        <v>0.04</v>
      </c>
      <c r="D52">
        <v>21000</v>
      </c>
      <c r="E52">
        <v>2215</v>
      </c>
      <c r="F52" s="5">
        <f t="shared" si="0"/>
        <v>0.10547619047619047</v>
      </c>
      <c r="H52" t="s">
        <v>61</v>
      </c>
    </row>
    <row r="53" spans="1:11" x14ac:dyDescent="0.3">
      <c r="A53" s="1">
        <v>45980</v>
      </c>
      <c r="B53" t="s">
        <v>10</v>
      </c>
      <c r="C53" s="5">
        <v>0.6</v>
      </c>
      <c r="D53">
        <v>88163</v>
      </c>
      <c r="E53">
        <v>93589</v>
      </c>
      <c r="F53" s="5">
        <f t="shared" si="0"/>
        <v>1.0615450926125471</v>
      </c>
      <c r="G53" t="s">
        <v>61</v>
      </c>
      <c r="H53" t="s">
        <v>61</v>
      </c>
      <c r="I53">
        <v>20</v>
      </c>
    </row>
    <row r="54" spans="1:11" x14ac:dyDescent="0.3">
      <c r="A54" s="1">
        <v>45980</v>
      </c>
      <c r="B54" t="s">
        <v>11</v>
      </c>
      <c r="C54" s="5">
        <v>0</v>
      </c>
      <c r="D54">
        <v>0</v>
      </c>
      <c r="E54">
        <v>0</v>
      </c>
      <c r="F54" s="5" t="e">
        <f t="shared" si="0"/>
        <v>#N/A</v>
      </c>
      <c r="G54" t="s">
        <v>83</v>
      </c>
    </row>
    <row r="55" spans="1:11" x14ac:dyDescent="0.3">
      <c r="A55" s="1">
        <v>45980</v>
      </c>
      <c r="B55" t="s">
        <v>12</v>
      </c>
      <c r="C55" s="5">
        <v>0.04</v>
      </c>
      <c r="D55">
        <v>13313</v>
      </c>
      <c r="E55">
        <v>7498</v>
      </c>
      <c r="F55" s="5">
        <f t="shared" si="0"/>
        <v>0.56320889356268311</v>
      </c>
      <c r="H55" t="s">
        <v>61</v>
      </c>
    </row>
    <row r="56" spans="1:11" x14ac:dyDescent="0.3">
      <c r="A56" s="1">
        <v>45981</v>
      </c>
      <c r="B56" t="s">
        <v>7</v>
      </c>
      <c r="C56" s="5">
        <v>0</v>
      </c>
      <c r="D56">
        <v>27150</v>
      </c>
      <c r="E56">
        <v>27877</v>
      </c>
      <c r="F56" s="5">
        <f t="shared" si="0"/>
        <v>1.0267771639042358</v>
      </c>
      <c r="J56" t="s">
        <v>93</v>
      </c>
      <c r="K56" t="s">
        <v>94</v>
      </c>
    </row>
    <row r="57" spans="1:11" x14ac:dyDescent="0.3">
      <c r="A57" s="1">
        <v>45981</v>
      </c>
      <c r="B57" t="s">
        <v>8</v>
      </c>
      <c r="C57" s="5">
        <v>0.69</v>
      </c>
      <c r="D57">
        <v>6440</v>
      </c>
      <c r="E57">
        <v>7077</v>
      </c>
      <c r="F57" s="5">
        <f t="shared" si="0"/>
        <v>1.0989130434782608</v>
      </c>
      <c r="H57" t="s">
        <v>61</v>
      </c>
    </row>
    <row r="58" spans="1:11" x14ac:dyDescent="0.3">
      <c r="A58" s="1">
        <v>45981</v>
      </c>
      <c r="B58" t="s">
        <v>9</v>
      </c>
      <c r="C58" s="5">
        <v>0</v>
      </c>
      <c r="D58">
        <v>0</v>
      </c>
      <c r="E58">
        <v>0</v>
      </c>
      <c r="F58" s="5" t="e">
        <f t="shared" si="0"/>
        <v>#N/A</v>
      </c>
      <c r="G58" t="s">
        <v>61</v>
      </c>
      <c r="H58" t="s">
        <v>61</v>
      </c>
    </row>
    <row r="59" spans="1:11" x14ac:dyDescent="0.3">
      <c r="A59" s="1">
        <v>45981</v>
      </c>
      <c r="B59" t="s">
        <v>10</v>
      </c>
      <c r="C59" s="5">
        <v>0.53</v>
      </c>
      <c r="D59">
        <v>62846</v>
      </c>
      <c r="E59">
        <v>65906</v>
      </c>
      <c r="F59" s="5">
        <f t="shared" si="0"/>
        <v>1.0486904496706235</v>
      </c>
      <c r="G59" t="s">
        <v>83</v>
      </c>
      <c r="H59" t="s">
        <v>61</v>
      </c>
      <c r="I59">
        <v>120</v>
      </c>
    </row>
    <row r="60" spans="1:11" x14ac:dyDescent="0.3">
      <c r="A60" s="1">
        <v>45981</v>
      </c>
      <c r="B60" t="s">
        <v>11</v>
      </c>
      <c r="C60" s="5">
        <v>0.4</v>
      </c>
      <c r="D60">
        <v>41958</v>
      </c>
      <c r="E60">
        <v>50535</v>
      </c>
      <c r="F60" s="5">
        <f t="shared" si="0"/>
        <v>1.2044187044187045</v>
      </c>
      <c r="G60" t="s">
        <v>83</v>
      </c>
      <c r="I60">
        <v>180</v>
      </c>
    </row>
    <row r="61" spans="1:11" x14ac:dyDescent="0.3">
      <c r="A61" s="1">
        <v>45981</v>
      </c>
      <c r="B61" t="s">
        <v>12</v>
      </c>
      <c r="C61" s="5">
        <v>0</v>
      </c>
      <c r="D61">
        <v>0</v>
      </c>
      <c r="E61">
        <v>0</v>
      </c>
      <c r="F61" s="5" t="e">
        <f t="shared" si="0"/>
        <v>#N/A</v>
      </c>
      <c r="G61" t="s">
        <v>83</v>
      </c>
      <c r="H61" t="s">
        <v>61</v>
      </c>
    </row>
    <row r="62" spans="1:11" x14ac:dyDescent="0.3">
      <c r="A62" s="1">
        <v>45982</v>
      </c>
      <c r="B62" t="s">
        <v>7</v>
      </c>
      <c r="C62" s="5">
        <v>0</v>
      </c>
      <c r="D62">
        <v>0</v>
      </c>
      <c r="E62">
        <v>0</v>
      </c>
      <c r="F62" s="5" t="e">
        <f t="shared" si="0"/>
        <v>#N/A</v>
      </c>
      <c r="K62" t="s">
        <v>95</v>
      </c>
    </row>
    <row r="63" spans="1:11" x14ac:dyDescent="0.3">
      <c r="A63" s="1">
        <v>45982</v>
      </c>
      <c r="B63" t="s">
        <v>8</v>
      </c>
      <c r="C63" s="5">
        <v>0</v>
      </c>
      <c r="D63">
        <v>0</v>
      </c>
      <c r="E63">
        <v>0</v>
      </c>
      <c r="F63" s="5" t="e">
        <f t="shared" si="0"/>
        <v>#N/A</v>
      </c>
    </row>
    <row r="64" spans="1:11" x14ac:dyDescent="0.3">
      <c r="A64" s="1">
        <v>45982</v>
      </c>
      <c r="B64" t="s">
        <v>9</v>
      </c>
      <c r="C64" s="5">
        <v>0.22</v>
      </c>
      <c r="D64">
        <v>21525</v>
      </c>
      <c r="E64">
        <v>18458</v>
      </c>
      <c r="F64" s="5">
        <f t="shared" si="0"/>
        <v>0.85751451800232292</v>
      </c>
      <c r="H64" t="s">
        <v>61</v>
      </c>
    </row>
    <row r="65" spans="1:11" x14ac:dyDescent="0.3">
      <c r="A65" s="1">
        <v>45982</v>
      </c>
      <c r="B65" t="s">
        <v>10</v>
      </c>
      <c r="C65" s="5">
        <v>0.48</v>
      </c>
      <c r="D65">
        <v>92223</v>
      </c>
      <c r="E65">
        <v>82441</v>
      </c>
      <c r="F65" s="5">
        <f t="shared" si="0"/>
        <v>0.89393101503963224</v>
      </c>
      <c r="G65" t="s">
        <v>61</v>
      </c>
      <c r="H65" t="s">
        <v>61</v>
      </c>
      <c r="I65">
        <v>120</v>
      </c>
    </row>
    <row r="66" spans="1:11" x14ac:dyDescent="0.3">
      <c r="A66" s="1">
        <v>45982</v>
      </c>
      <c r="B66" t="s">
        <v>11</v>
      </c>
      <c r="C66" s="5">
        <v>0</v>
      </c>
      <c r="D66">
        <v>42558</v>
      </c>
      <c r="E66">
        <v>42102</v>
      </c>
      <c r="F66" s="5">
        <f t="shared" si="0"/>
        <v>0.98928521077118281</v>
      </c>
      <c r="G66" t="s">
        <v>61</v>
      </c>
      <c r="I66">
        <v>30</v>
      </c>
    </row>
    <row r="67" spans="1:11" x14ac:dyDescent="0.3">
      <c r="A67" s="1">
        <v>45982</v>
      </c>
      <c r="B67" t="s">
        <v>12</v>
      </c>
      <c r="C67" s="5">
        <v>0.22</v>
      </c>
      <c r="D67">
        <v>15042</v>
      </c>
      <c r="E67">
        <v>13118</v>
      </c>
      <c r="F67" s="5">
        <f t="shared" ref="F67:F115" si="1">IFERROR(E67/D67, NA())</f>
        <v>0.87209147719718128</v>
      </c>
      <c r="G67" t="s">
        <v>61</v>
      </c>
      <c r="H67" t="s">
        <v>61</v>
      </c>
    </row>
    <row r="68" spans="1:11" x14ac:dyDescent="0.3">
      <c r="A68" s="1">
        <v>45983</v>
      </c>
      <c r="B68" t="s">
        <v>7</v>
      </c>
      <c r="C68" s="5">
        <v>0</v>
      </c>
      <c r="D68">
        <v>21655</v>
      </c>
      <c r="E68">
        <v>22704</v>
      </c>
      <c r="F68" s="5">
        <f t="shared" si="1"/>
        <v>1.0484414684830292</v>
      </c>
      <c r="J68" t="s">
        <v>96</v>
      </c>
      <c r="K68" t="s">
        <v>97</v>
      </c>
    </row>
    <row r="69" spans="1:11" x14ac:dyDescent="0.3">
      <c r="A69" s="1">
        <v>45983</v>
      </c>
      <c r="B69" t="s">
        <v>8</v>
      </c>
      <c r="C69" s="5">
        <v>0</v>
      </c>
      <c r="D69">
        <v>0</v>
      </c>
      <c r="E69">
        <v>0</v>
      </c>
      <c r="F69" s="5" t="e">
        <f t="shared" si="1"/>
        <v>#N/A</v>
      </c>
      <c r="G69" t="s">
        <v>83</v>
      </c>
      <c r="H69" t="s">
        <v>84</v>
      </c>
    </row>
    <row r="70" spans="1:11" x14ac:dyDescent="0.3">
      <c r="A70" s="1">
        <v>45983</v>
      </c>
      <c r="B70" t="s">
        <v>9</v>
      </c>
      <c r="C70" s="5">
        <v>0</v>
      </c>
      <c r="D70">
        <v>0</v>
      </c>
      <c r="E70">
        <v>0</v>
      </c>
      <c r="F70" s="5" t="e">
        <f t="shared" si="1"/>
        <v>#N/A</v>
      </c>
      <c r="G70" t="s">
        <v>61</v>
      </c>
      <c r="H70" t="s">
        <v>84</v>
      </c>
    </row>
    <row r="71" spans="1:11" x14ac:dyDescent="0.3">
      <c r="A71" s="1">
        <v>45983</v>
      </c>
      <c r="B71" t="s">
        <v>10</v>
      </c>
      <c r="C71" s="5">
        <v>0.48</v>
      </c>
      <c r="D71">
        <v>80838</v>
      </c>
      <c r="E71">
        <v>78158</v>
      </c>
      <c r="F71" s="5">
        <f t="shared" si="1"/>
        <v>0.96684727479650656</v>
      </c>
      <c r="G71" t="s">
        <v>83</v>
      </c>
      <c r="H71" t="s">
        <v>61</v>
      </c>
      <c r="I71">
        <v>10</v>
      </c>
    </row>
    <row r="72" spans="1:11" x14ac:dyDescent="0.3">
      <c r="A72" s="1">
        <v>45983</v>
      </c>
      <c r="B72" t="s">
        <v>11</v>
      </c>
      <c r="C72" s="5">
        <v>0.19</v>
      </c>
      <c r="D72">
        <v>54000</v>
      </c>
      <c r="E72">
        <v>54027</v>
      </c>
      <c r="F72" s="5">
        <f t="shared" si="1"/>
        <v>1.0004999999999999</v>
      </c>
      <c r="G72" t="s">
        <v>84</v>
      </c>
      <c r="H72" t="s">
        <v>61</v>
      </c>
      <c r="I72">
        <v>120</v>
      </c>
    </row>
    <row r="73" spans="1:11" x14ac:dyDescent="0.3">
      <c r="A73" s="1">
        <v>45983</v>
      </c>
      <c r="B73" t="s">
        <v>12</v>
      </c>
      <c r="C73" s="5">
        <v>0</v>
      </c>
      <c r="D73">
        <v>3440</v>
      </c>
      <c r="E73">
        <v>1803</v>
      </c>
      <c r="F73" s="5">
        <f t="shared" si="1"/>
        <v>0.52412790697674416</v>
      </c>
      <c r="G73" t="s">
        <v>83</v>
      </c>
      <c r="H73" t="s">
        <v>61</v>
      </c>
      <c r="I73">
        <v>60</v>
      </c>
    </row>
    <row r="74" spans="1:11" x14ac:dyDescent="0.3">
      <c r="A74" s="1">
        <v>45985</v>
      </c>
      <c r="B74" t="s">
        <v>7</v>
      </c>
      <c r="C74" s="5">
        <v>0</v>
      </c>
      <c r="D74">
        <v>24916</v>
      </c>
      <c r="E74">
        <v>24360</v>
      </c>
      <c r="F74" s="5">
        <f t="shared" si="1"/>
        <v>0.97768502167282068</v>
      </c>
      <c r="J74" t="s">
        <v>98</v>
      </c>
    </row>
    <row r="75" spans="1:11" x14ac:dyDescent="0.3">
      <c r="A75" s="1">
        <v>45985</v>
      </c>
      <c r="B75" t="s">
        <v>8</v>
      </c>
      <c r="C75" s="5">
        <v>0.34</v>
      </c>
      <c r="D75">
        <v>5674</v>
      </c>
      <c r="E75">
        <v>6097</v>
      </c>
      <c r="F75" s="5">
        <f t="shared" si="1"/>
        <v>1.0745505816002821</v>
      </c>
      <c r="G75" t="s">
        <v>83</v>
      </c>
      <c r="H75" t="s">
        <v>61</v>
      </c>
      <c r="I75">
        <v>60</v>
      </c>
    </row>
    <row r="76" spans="1:11" x14ac:dyDescent="0.3">
      <c r="A76" s="1">
        <v>45985</v>
      </c>
      <c r="B76" t="s">
        <v>9</v>
      </c>
      <c r="C76" s="5">
        <v>0.63</v>
      </c>
      <c r="D76">
        <v>23100</v>
      </c>
      <c r="E76">
        <v>23100</v>
      </c>
      <c r="F76" s="5">
        <f t="shared" si="1"/>
        <v>1</v>
      </c>
      <c r="G76" t="s">
        <v>61</v>
      </c>
      <c r="H76" t="s">
        <v>61</v>
      </c>
    </row>
    <row r="77" spans="1:11" x14ac:dyDescent="0.3">
      <c r="A77" s="1">
        <v>45985</v>
      </c>
      <c r="B77" t="s">
        <v>10</v>
      </c>
      <c r="C77" s="5">
        <v>0.47</v>
      </c>
      <c r="D77">
        <v>95998</v>
      </c>
      <c r="E77">
        <v>70156</v>
      </c>
      <c r="F77" s="5">
        <f t="shared" si="1"/>
        <v>0.73080689181024605</v>
      </c>
      <c r="G77" t="s">
        <v>83</v>
      </c>
      <c r="H77" t="s">
        <v>61</v>
      </c>
      <c r="I77">
        <v>60</v>
      </c>
    </row>
    <row r="78" spans="1:11" x14ac:dyDescent="0.3">
      <c r="A78" s="1">
        <v>45985</v>
      </c>
      <c r="B78" t="s">
        <v>11</v>
      </c>
      <c r="C78" s="5">
        <v>0</v>
      </c>
      <c r="D78">
        <v>0</v>
      </c>
      <c r="E78">
        <v>0</v>
      </c>
      <c r="F78" s="5" t="e">
        <f t="shared" si="1"/>
        <v>#N/A</v>
      </c>
      <c r="G78" t="s">
        <v>84</v>
      </c>
      <c r="H78" t="s">
        <v>84</v>
      </c>
    </row>
    <row r="79" spans="1:11" x14ac:dyDescent="0.3">
      <c r="A79" s="1">
        <v>45985</v>
      </c>
      <c r="B79" t="s">
        <v>12</v>
      </c>
      <c r="C79" s="5">
        <v>0.63</v>
      </c>
      <c r="D79">
        <v>13312</v>
      </c>
      <c r="E79">
        <v>8613</v>
      </c>
      <c r="F79" s="5">
        <f t="shared" si="1"/>
        <v>0.64701021634615385</v>
      </c>
      <c r="G79" t="s">
        <v>83</v>
      </c>
      <c r="H79" t="s">
        <v>61</v>
      </c>
      <c r="I79">
        <v>20</v>
      </c>
    </row>
    <row r="80" spans="1:11" x14ac:dyDescent="0.3">
      <c r="A80" s="1">
        <v>45986</v>
      </c>
      <c r="B80" t="s">
        <v>7</v>
      </c>
      <c r="C80" s="5">
        <v>0</v>
      </c>
      <c r="D80">
        <v>11025</v>
      </c>
      <c r="E80">
        <v>11319</v>
      </c>
      <c r="F80" s="5">
        <f t="shared" si="1"/>
        <v>1.0266666666666666</v>
      </c>
      <c r="J80" t="s">
        <v>99</v>
      </c>
    </row>
    <row r="81" spans="1:10" x14ac:dyDescent="0.3">
      <c r="A81" s="1">
        <v>45986</v>
      </c>
      <c r="B81" t="s">
        <v>8</v>
      </c>
      <c r="C81" s="5">
        <v>0.54</v>
      </c>
      <c r="D81">
        <v>7080</v>
      </c>
      <c r="E81">
        <v>7752</v>
      </c>
      <c r="F81" s="5">
        <f t="shared" si="1"/>
        <v>1.0949152542372882</v>
      </c>
      <c r="G81" t="s">
        <v>83</v>
      </c>
      <c r="H81" t="s">
        <v>61</v>
      </c>
      <c r="I81">
        <v>60</v>
      </c>
    </row>
    <row r="82" spans="1:10" x14ac:dyDescent="0.3">
      <c r="A82" s="1">
        <v>45986</v>
      </c>
      <c r="B82" t="s">
        <v>9</v>
      </c>
      <c r="C82" s="5">
        <v>0.6</v>
      </c>
      <c r="D82">
        <v>0</v>
      </c>
      <c r="E82">
        <v>0</v>
      </c>
      <c r="F82" s="5" t="e">
        <f t="shared" si="1"/>
        <v>#N/A</v>
      </c>
      <c r="H82" t="s">
        <v>61</v>
      </c>
    </row>
    <row r="83" spans="1:10" x14ac:dyDescent="0.3">
      <c r="A83" s="1">
        <v>45986</v>
      </c>
      <c r="B83" t="s">
        <v>10</v>
      </c>
      <c r="C83" s="5">
        <v>0.46</v>
      </c>
      <c r="D83">
        <v>127575</v>
      </c>
      <c r="E83">
        <v>118630</v>
      </c>
      <c r="F83" s="5">
        <f t="shared" si="1"/>
        <v>0.92988438173623356</v>
      </c>
      <c r="G83" t="s">
        <v>61</v>
      </c>
      <c r="H83" t="s">
        <v>61</v>
      </c>
      <c r="I83">
        <v>60</v>
      </c>
    </row>
    <row r="84" spans="1:10" x14ac:dyDescent="0.3">
      <c r="A84" s="1">
        <v>45986</v>
      </c>
      <c r="B84" t="s">
        <v>11</v>
      </c>
      <c r="C84" s="5">
        <v>0</v>
      </c>
      <c r="D84">
        <v>0</v>
      </c>
      <c r="E84">
        <v>0</v>
      </c>
      <c r="F84" s="5" t="e">
        <f t="shared" si="1"/>
        <v>#N/A</v>
      </c>
      <c r="G84" t="s">
        <v>83</v>
      </c>
    </row>
    <row r="85" spans="1:10" x14ac:dyDescent="0.3">
      <c r="A85" s="1">
        <v>45986</v>
      </c>
      <c r="B85" t="s">
        <v>12</v>
      </c>
      <c r="C85" s="5">
        <v>0.6</v>
      </c>
      <c r="D85">
        <v>15000</v>
      </c>
      <c r="E85">
        <v>15036</v>
      </c>
      <c r="F85" s="5">
        <f t="shared" si="1"/>
        <v>1.0024</v>
      </c>
      <c r="G85" t="s">
        <v>83</v>
      </c>
      <c r="H85" t="s">
        <v>61</v>
      </c>
      <c r="I85">
        <v>20</v>
      </c>
    </row>
    <row r="86" spans="1:10" x14ac:dyDescent="0.3">
      <c r="A86" s="1">
        <v>45994</v>
      </c>
      <c r="B86" t="s">
        <v>7</v>
      </c>
      <c r="C86" s="5">
        <v>0</v>
      </c>
      <c r="D86">
        <v>27150</v>
      </c>
      <c r="E86">
        <v>26801</v>
      </c>
      <c r="F86" s="5">
        <f t="shared" si="1"/>
        <v>0.98714548802946589</v>
      </c>
      <c r="J86" t="s">
        <v>100</v>
      </c>
    </row>
    <row r="87" spans="1:10" x14ac:dyDescent="0.3">
      <c r="A87" s="1">
        <v>45994</v>
      </c>
      <c r="B87" t="s">
        <v>8</v>
      </c>
      <c r="C87" s="5">
        <v>0.45</v>
      </c>
      <c r="D87">
        <v>8820</v>
      </c>
      <c r="E87">
        <v>7497</v>
      </c>
      <c r="F87" s="5">
        <f t="shared" si="1"/>
        <v>0.85</v>
      </c>
      <c r="G87" t="s">
        <v>83</v>
      </c>
      <c r="H87" t="s">
        <v>61</v>
      </c>
      <c r="I87">
        <v>120</v>
      </c>
    </row>
    <row r="88" spans="1:10" x14ac:dyDescent="0.3">
      <c r="A88" s="1">
        <v>45994</v>
      </c>
      <c r="B88" t="s">
        <v>9</v>
      </c>
      <c r="C88" s="5">
        <v>0.52</v>
      </c>
      <c r="D88">
        <v>26964</v>
      </c>
      <c r="E88">
        <v>27016</v>
      </c>
      <c r="F88" s="5">
        <f t="shared" si="1"/>
        <v>1.0019284972556</v>
      </c>
      <c r="G88" t="s">
        <v>61</v>
      </c>
      <c r="H88" t="s">
        <v>61</v>
      </c>
      <c r="I88">
        <v>140</v>
      </c>
    </row>
    <row r="89" spans="1:10" x14ac:dyDescent="0.3">
      <c r="A89" s="1">
        <v>45994</v>
      </c>
      <c r="B89" t="s">
        <v>10</v>
      </c>
      <c r="C89" s="5">
        <v>0.61</v>
      </c>
      <c r="D89">
        <v>97975</v>
      </c>
      <c r="E89">
        <v>59846</v>
      </c>
      <c r="F89" s="5">
        <f t="shared" si="1"/>
        <v>0.61082929318703749</v>
      </c>
      <c r="G89" t="s">
        <v>61</v>
      </c>
      <c r="H89" t="s">
        <v>61</v>
      </c>
      <c r="I89">
        <v>105</v>
      </c>
    </row>
    <row r="90" spans="1:10" x14ac:dyDescent="0.3">
      <c r="A90" s="1">
        <v>45994</v>
      </c>
      <c r="B90" t="s">
        <v>11</v>
      </c>
      <c r="C90" s="5">
        <v>0</v>
      </c>
      <c r="D90">
        <v>0</v>
      </c>
      <c r="E90">
        <v>0</v>
      </c>
      <c r="F90" s="5" t="e">
        <f t="shared" si="1"/>
        <v>#N/A</v>
      </c>
    </row>
    <row r="91" spans="1:10" x14ac:dyDescent="0.3">
      <c r="A91" s="1">
        <v>45994</v>
      </c>
      <c r="B91" t="s">
        <v>12</v>
      </c>
      <c r="C91" s="5">
        <v>0.52</v>
      </c>
      <c r="D91">
        <v>21506</v>
      </c>
      <c r="E91">
        <v>21371</v>
      </c>
      <c r="F91" s="5">
        <f t="shared" si="1"/>
        <v>0.99372268204222081</v>
      </c>
      <c r="G91" t="s">
        <v>83</v>
      </c>
      <c r="H91" t="s">
        <v>61</v>
      </c>
      <c r="I91">
        <v>80</v>
      </c>
    </row>
    <row r="92" spans="1:10" x14ac:dyDescent="0.3">
      <c r="A92" s="1">
        <v>45995</v>
      </c>
      <c r="B92" t="s">
        <v>7</v>
      </c>
      <c r="C92" s="5">
        <v>0</v>
      </c>
      <c r="D92">
        <v>23278</v>
      </c>
      <c r="E92">
        <v>18525</v>
      </c>
      <c r="F92" s="5">
        <f t="shared" si="1"/>
        <v>0.79581579173468509</v>
      </c>
      <c r="J92" t="s">
        <v>101</v>
      </c>
    </row>
    <row r="93" spans="1:10" x14ac:dyDescent="0.3">
      <c r="A93" s="1">
        <v>45995</v>
      </c>
      <c r="B93" t="s">
        <v>8</v>
      </c>
      <c r="C93" s="5">
        <v>0.98</v>
      </c>
      <c r="D93">
        <v>10310</v>
      </c>
      <c r="E93">
        <v>9802</v>
      </c>
      <c r="F93" s="5">
        <f t="shared" si="1"/>
        <v>0.95072744907856455</v>
      </c>
      <c r="G93" t="s">
        <v>83</v>
      </c>
      <c r="H93" t="s">
        <v>61</v>
      </c>
      <c r="I93">
        <v>55</v>
      </c>
    </row>
    <row r="94" spans="1:10" x14ac:dyDescent="0.3">
      <c r="A94" s="1">
        <v>45995</v>
      </c>
      <c r="B94" t="s">
        <v>9</v>
      </c>
      <c r="C94" s="5">
        <v>0.6</v>
      </c>
      <c r="D94">
        <v>23100</v>
      </c>
      <c r="E94">
        <v>23163</v>
      </c>
      <c r="F94" s="5">
        <f t="shared" si="1"/>
        <v>1.0027272727272727</v>
      </c>
      <c r="G94" t="s">
        <v>83</v>
      </c>
      <c r="H94" t="s">
        <v>61</v>
      </c>
    </row>
    <row r="95" spans="1:10" x14ac:dyDescent="0.3">
      <c r="A95" s="1">
        <v>45995</v>
      </c>
      <c r="B95" t="s">
        <v>10</v>
      </c>
      <c r="C95" s="5">
        <v>0.53</v>
      </c>
      <c r="D95">
        <v>124805</v>
      </c>
      <c r="E95">
        <v>67443</v>
      </c>
      <c r="F95" s="5">
        <f t="shared" si="1"/>
        <v>0.54038700372581228</v>
      </c>
      <c r="G95" t="s">
        <v>83</v>
      </c>
      <c r="H95" t="s">
        <v>61</v>
      </c>
      <c r="I95">
        <v>60</v>
      </c>
    </row>
    <row r="96" spans="1:10" x14ac:dyDescent="0.3">
      <c r="A96" s="1">
        <v>45995</v>
      </c>
      <c r="B96" t="s">
        <v>11</v>
      </c>
      <c r="C96" s="5">
        <v>0</v>
      </c>
      <c r="D96">
        <v>0</v>
      </c>
      <c r="E96">
        <v>0</v>
      </c>
      <c r="F96" s="5" t="e">
        <f t="shared" si="1"/>
        <v>#N/A</v>
      </c>
    </row>
    <row r="97" spans="1:9" x14ac:dyDescent="0.3">
      <c r="A97" s="1">
        <v>45995</v>
      </c>
      <c r="B97" t="s">
        <v>12</v>
      </c>
      <c r="C97" s="5">
        <v>0.6</v>
      </c>
      <c r="D97">
        <v>13084</v>
      </c>
      <c r="E97">
        <v>13407</v>
      </c>
      <c r="F97" s="5">
        <f t="shared" si="1"/>
        <v>1.0246866401712014</v>
      </c>
      <c r="G97" t="s">
        <v>83</v>
      </c>
      <c r="H97" t="s">
        <v>61</v>
      </c>
      <c r="I97">
        <v>30</v>
      </c>
    </row>
    <row r="98" spans="1:9" x14ac:dyDescent="0.3">
      <c r="A98" s="1">
        <v>45999</v>
      </c>
      <c r="B98" t="s">
        <v>7</v>
      </c>
      <c r="C98" s="5">
        <v>0</v>
      </c>
      <c r="D98">
        <v>0</v>
      </c>
      <c r="E98">
        <v>0</v>
      </c>
      <c r="F98" s="5" t="e">
        <f t="shared" si="1"/>
        <v>#N/A</v>
      </c>
    </row>
    <row r="99" spans="1:9" x14ac:dyDescent="0.3">
      <c r="A99" s="1">
        <v>45999</v>
      </c>
      <c r="B99" t="s">
        <v>8</v>
      </c>
      <c r="C99" s="5">
        <v>0</v>
      </c>
      <c r="D99">
        <v>0</v>
      </c>
      <c r="E99">
        <v>0</v>
      </c>
      <c r="F99" s="5" t="e">
        <f t="shared" si="1"/>
        <v>#N/A</v>
      </c>
      <c r="G99" t="s">
        <v>84</v>
      </c>
    </row>
    <row r="100" spans="1:9" x14ac:dyDescent="0.3">
      <c r="A100" s="1">
        <v>45999</v>
      </c>
      <c r="B100" t="s">
        <v>9</v>
      </c>
      <c r="C100" s="5">
        <v>0</v>
      </c>
      <c r="D100">
        <v>0</v>
      </c>
      <c r="E100">
        <v>0</v>
      </c>
      <c r="F100" s="5" t="e">
        <f t="shared" si="1"/>
        <v>#N/A</v>
      </c>
      <c r="G100" t="s">
        <v>61</v>
      </c>
    </row>
    <row r="101" spans="1:9" x14ac:dyDescent="0.3">
      <c r="A101" s="1">
        <v>45999</v>
      </c>
      <c r="B101" t="s">
        <v>10</v>
      </c>
      <c r="C101" s="5">
        <v>0.49</v>
      </c>
      <c r="D101">
        <v>62406</v>
      </c>
      <c r="E101">
        <v>49302</v>
      </c>
      <c r="F101" s="5">
        <f t="shared" si="1"/>
        <v>0.79002019036631088</v>
      </c>
      <c r="G101" t="s">
        <v>61</v>
      </c>
    </row>
    <row r="102" spans="1:9" x14ac:dyDescent="0.3">
      <c r="A102" s="1">
        <v>45999</v>
      </c>
      <c r="B102" t="s">
        <v>11</v>
      </c>
      <c r="C102" s="5">
        <v>0</v>
      </c>
      <c r="D102">
        <v>40026</v>
      </c>
      <c r="E102">
        <v>43347</v>
      </c>
      <c r="F102" s="5">
        <f t="shared" si="1"/>
        <v>1.0829710688052765</v>
      </c>
      <c r="G102" t="s">
        <v>84</v>
      </c>
    </row>
    <row r="103" spans="1:9" x14ac:dyDescent="0.3">
      <c r="A103" s="1">
        <v>45999</v>
      </c>
      <c r="B103" t="s">
        <v>12</v>
      </c>
      <c r="C103" s="5">
        <v>0</v>
      </c>
      <c r="D103">
        <v>0</v>
      </c>
      <c r="E103">
        <v>0</v>
      </c>
      <c r="F103" s="5" t="e">
        <f t="shared" si="1"/>
        <v>#N/A</v>
      </c>
      <c r="G103" t="s">
        <v>61</v>
      </c>
    </row>
    <row r="104" spans="1:9" x14ac:dyDescent="0.3">
      <c r="A104" s="1">
        <v>46000</v>
      </c>
      <c r="B104" t="s">
        <v>7</v>
      </c>
      <c r="C104" s="5">
        <v>0</v>
      </c>
      <c r="D104">
        <v>0</v>
      </c>
      <c r="E104">
        <v>0</v>
      </c>
      <c r="F104" s="5" t="e">
        <f t="shared" si="1"/>
        <v>#N/A</v>
      </c>
    </row>
    <row r="105" spans="1:9" x14ac:dyDescent="0.3">
      <c r="A105" s="1">
        <v>46000</v>
      </c>
      <c r="B105" t="s">
        <v>8</v>
      </c>
      <c r="C105" s="5">
        <v>0</v>
      </c>
      <c r="D105">
        <v>0</v>
      </c>
      <c r="E105">
        <v>0</v>
      </c>
      <c r="F105" s="5" t="e">
        <f t="shared" si="1"/>
        <v>#N/A</v>
      </c>
      <c r="G105" t="s">
        <v>84</v>
      </c>
    </row>
    <row r="106" spans="1:9" x14ac:dyDescent="0.3">
      <c r="A106" s="1">
        <v>46000</v>
      </c>
      <c r="B106" t="s">
        <v>9</v>
      </c>
      <c r="C106" s="5">
        <v>0</v>
      </c>
      <c r="D106">
        <v>0</v>
      </c>
      <c r="E106">
        <v>0</v>
      </c>
      <c r="F106" s="5" t="e">
        <f t="shared" si="1"/>
        <v>#N/A</v>
      </c>
      <c r="G106" t="s">
        <v>61</v>
      </c>
    </row>
    <row r="107" spans="1:9" x14ac:dyDescent="0.3">
      <c r="A107" s="1">
        <v>46000</v>
      </c>
      <c r="B107" t="s">
        <v>10</v>
      </c>
      <c r="C107" s="5">
        <v>0.49</v>
      </c>
      <c r="D107">
        <v>62406</v>
      </c>
      <c r="E107">
        <v>49302</v>
      </c>
      <c r="F107" s="5">
        <f t="shared" si="1"/>
        <v>0.79002019036631088</v>
      </c>
      <c r="G107" t="s">
        <v>61</v>
      </c>
    </row>
    <row r="108" spans="1:9" x14ac:dyDescent="0.3">
      <c r="A108" s="1">
        <v>46000</v>
      </c>
      <c r="B108" t="s">
        <v>11</v>
      </c>
      <c r="C108" s="5">
        <v>0</v>
      </c>
      <c r="D108">
        <v>40026</v>
      </c>
      <c r="E108">
        <v>43347</v>
      </c>
      <c r="F108" s="5">
        <f t="shared" si="1"/>
        <v>1.0829710688052765</v>
      </c>
      <c r="G108" t="s">
        <v>84</v>
      </c>
    </row>
    <row r="109" spans="1:9" x14ac:dyDescent="0.3">
      <c r="A109" s="1">
        <v>46000</v>
      </c>
      <c r="B109" t="s">
        <v>12</v>
      </c>
      <c r="C109" s="5">
        <v>0</v>
      </c>
      <c r="D109">
        <v>0</v>
      </c>
      <c r="E109">
        <v>0</v>
      </c>
      <c r="F109" s="5" t="e">
        <f t="shared" si="1"/>
        <v>#N/A</v>
      </c>
      <c r="G109" t="s">
        <v>61</v>
      </c>
    </row>
    <row r="110" spans="1:9" x14ac:dyDescent="0.3">
      <c r="A110" s="1">
        <v>46001</v>
      </c>
      <c r="B110" t="s">
        <v>7</v>
      </c>
      <c r="C110" s="5">
        <v>0</v>
      </c>
      <c r="D110">
        <v>18365</v>
      </c>
      <c r="E110">
        <v>16107</v>
      </c>
      <c r="F110" s="5">
        <f t="shared" si="1"/>
        <v>0.87704873400490058</v>
      </c>
    </row>
    <row r="111" spans="1:9" x14ac:dyDescent="0.3">
      <c r="A111" s="1">
        <v>46001</v>
      </c>
      <c r="B111" t="s">
        <v>8</v>
      </c>
      <c r="C111" s="5">
        <v>0</v>
      </c>
      <c r="D111">
        <v>0</v>
      </c>
      <c r="E111">
        <v>0</v>
      </c>
      <c r="F111" s="5" t="e">
        <f t="shared" si="1"/>
        <v>#N/A</v>
      </c>
      <c r="G111" t="s">
        <v>83</v>
      </c>
      <c r="I111">
        <v>20</v>
      </c>
    </row>
    <row r="112" spans="1:9" x14ac:dyDescent="0.3">
      <c r="A112" s="1">
        <v>46001</v>
      </c>
      <c r="B112" t="s">
        <v>9</v>
      </c>
      <c r="C112" s="5">
        <v>0.66</v>
      </c>
      <c r="D112">
        <v>26250</v>
      </c>
      <c r="E112">
        <v>26250</v>
      </c>
      <c r="F112" s="5">
        <f t="shared" si="1"/>
        <v>1</v>
      </c>
      <c r="G112" t="s">
        <v>61</v>
      </c>
      <c r="H112" t="s">
        <v>61</v>
      </c>
    </row>
    <row r="113" spans="1:11" x14ac:dyDescent="0.3">
      <c r="A113" s="1">
        <v>46001</v>
      </c>
      <c r="B113" t="s">
        <v>10</v>
      </c>
      <c r="C113" s="5">
        <v>0.51</v>
      </c>
      <c r="D113">
        <v>98032</v>
      </c>
      <c r="E113">
        <v>87347</v>
      </c>
      <c r="F113" s="5">
        <f t="shared" si="1"/>
        <v>0.89100497796637834</v>
      </c>
      <c r="G113" t="s">
        <v>83</v>
      </c>
      <c r="H113" t="s">
        <v>61</v>
      </c>
      <c r="I113">
        <v>20</v>
      </c>
    </row>
    <row r="114" spans="1:11" x14ac:dyDescent="0.3">
      <c r="A114" s="1">
        <v>46001</v>
      </c>
      <c r="B114" t="s">
        <v>11</v>
      </c>
      <c r="C114" s="5">
        <v>0</v>
      </c>
      <c r="D114">
        <v>0</v>
      </c>
      <c r="E114">
        <v>0</v>
      </c>
      <c r="F114" s="5" t="e">
        <f t="shared" si="1"/>
        <v>#N/A</v>
      </c>
      <c r="G114" t="s">
        <v>84</v>
      </c>
    </row>
    <row r="115" spans="1:11" x14ac:dyDescent="0.3">
      <c r="A115" s="1">
        <v>46001</v>
      </c>
      <c r="B115" t="s">
        <v>12</v>
      </c>
      <c r="C115" s="5">
        <v>0.53</v>
      </c>
      <c r="D115">
        <v>26250</v>
      </c>
      <c r="E115">
        <v>26334</v>
      </c>
      <c r="F115" s="5">
        <f t="shared" si="1"/>
        <v>1.0032000000000001</v>
      </c>
      <c r="G115" t="s">
        <v>83</v>
      </c>
      <c r="H115" t="s">
        <v>61</v>
      </c>
      <c r="J115" t="s">
        <v>123</v>
      </c>
      <c r="K115" t="s">
        <v>124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0418-8602-420B-BFC9-E399DE10D891}">
  <dimension ref="A1:K64"/>
  <sheetViews>
    <sheetView tabSelected="1" workbookViewId="0">
      <pane xSplit="1" ySplit="1" topLeftCell="B39" activePane="bottomRight" state="frozen"/>
      <selection pane="topRight" activeCell="C1" sqref="C1"/>
      <selection pane="bottomLeft" activeCell="A2" sqref="A2"/>
      <selection pane="bottomRight" activeCell="B64" sqref="B64"/>
    </sheetView>
  </sheetViews>
  <sheetFormatPr defaultRowHeight="14.4" x14ac:dyDescent="0.3"/>
  <cols>
    <col min="1" max="1" width="10.5546875" bestFit="1" customWidth="1"/>
    <col min="2" max="2" width="10.5546875" customWidth="1"/>
    <col min="3" max="3" width="16.44140625" bestFit="1" customWidth="1"/>
    <col min="4" max="4" width="16.33203125" bestFit="1" customWidth="1"/>
    <col min="5" max="5" width="21.109375" bestFit="1" customWidth="1"/>
    <col min="6" max="6" width="21" bestFit="1" customWidth="1"/>
    <col min="7" max="7" width="30.6640625" bestFit="1" customWidth="1"/>
    <col min="8" max="8" width="15.109375" bestFit="1" customWidth="1"/>
    <col min="9" max="9" width="23.44140625" bestFit="1" customWidth="1"/>
    <col min="10" max="10" width="9.88671875" style="5" bestFit="1" customWidth="1"/>
    <col min="11" max="11" width="9.21875" bestFit="1" customWidth="1"/>
  </cols>
  <sheetData>
    <row r="1" spans="1:11" x14ac:dyDescent="0.3">
      <c r="A1" s="2" t="s">
        <v>0</v>
      </c>
      <c r="B1" s="2" t="s">
        <v>29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102</v>
      </c>
      <c r="H1" s="2" t="s">
        <v>107</v>
      </c>
      <c r="I1" s="2" t="s">
        <v>117</v>
      </c>
      <c r="J1" s="4" t="s">
        <v>30</v>
      </c>
      <c r="K1" s="2" t="s">
        <v>120</v>
      </c>
    </row>
    <row r="2" spans="1:11" x14ac:dyDescent="0.3">
      <c r="A2" s="1">
        <v>45969</v>
      </c>
      <c r="B2" s="1" t="s">
        <v>5</v>
      </c>
      <c r="C2">
        <v>6</v>
      </c>
      <c r="D2">
        <v>6</v>
      </c>
      <c r="E2">
        <v>8</v>
      </c>
      <c r="F2">
        <v>8</v>
      </c>
      <c r="G2">
        <v>35540</v>
      </c>
      <c r="H2">
        <v>15</v>
      </c>
      <c r="I2">
        <v>27631</v>
      </c>
      <c r="J2" s="5">
        <f>IFERROR(I2/G2, NA())</f>
        <v>0.77746201463140119</v>
      </c>
    </row>
    <row r="3" spans="1:11" x14ac:dyDescent="0.3">
      <c r="A3" s="1">
        <v>45969</v>
      </c>
      <c r="B3" s="1" t="s">
        <v>4</v>
      </c>
      <c r="C3" s="12"/>
      <c r="D3" s="12"/>
      <c r="E3">
        <v>3</v>
      </c>
      <c r="F3">
        <v>3</v>
      </c>
      <c r="G3" s="12"/>
      <c r="H3" s="12"/>
      <c r="I3" s="12"/>
      <c r="J3" s="5" t="e">
        <f t="shared" ref="J3:J63" si="0">IFERROR(I3/G3, NA())</f>
        <v>#N/A</v>
      </c>
    </row>
    <row r="4" spans="1:11" x14ac:dyDescent="0.3">
      <c r="A4" s="1">
        <v>45971</v>
      </c>
      <c r="B4" s="1" t="s">
        <v>5</v>
      </c>
      <c r="C4">
        <v>0</v>
      </c>
      <c r="D4">
        <v>0</v>
      </c>
      <c r="E4">
        <v>4</v>
      </c>
      <c r="F4">
        <v>4</v>
      </c>
      <c r="G4">
        <v>17344</v>
      </c>
      <c r="H4">
        <v>8</v>
      </c>
      <c r="I4">
        <v>14807</v>
      </c>
      <c r="J4" s="5">
        <f t="shared" si="0"/>
        <v>0.85372463099630991</v>
      </c>
    </row>
    <row r="5" spans="1:11" x14ac:dyDescent="0.3">
      <c r="A5" s="1">
        <v>45971</v>
      </c>
      <c r="B5" s="1" t="s">
        <v>4</v>
      </c>
      <c r="C5" s="12"/>
      <c r="D5" s="12"/>
      <c r="E5">
        <v>0</v>
      </c>
      <c r="F5">
        <v>0</v>
      </c>
      <c r="G5" s="12"/>
      <c r="H5" s="12"/>
      <c r="I5" s="12"/>
      <c r="J5" s="5" t="e">
        <f t="shared" si="0"/>
        <v>#N/A</v>
      </c>
    </row>
    <row r="6" spans="1:11" x14ac:dyDescent="0.3">
      <c r="A6" s="1">
        <v>45972</v>
      </c>
      <c r="B6" s="1" t="s">
        <v>5</v>
      </c>
      <c r="C6">
        <v>6</v>
      </c>
      <c r="D6">
        <v>6</v>
      </c>
      <c r="E6">
        <v>7</v>
      </c>
      <c r="F6">
        <v>7</v>
      </c>
      <c r="G6">
        <v>19214</v>
      </c>
      <c r="H6">
        <v>10</v>
      </c>
      <c r="I6">
        <v>18167</v>
      </c>
      <c r="J6" s="5">
        <f t="shared" si="0"/>
        <v>0.94550848339752269</v>
      </c>
    </row>
    <row r="7" spans="1:11" x14ac:dyDescent="0.3">
      <c r="A7" s="1">
        <v>45972</v>
      </c>
      <c r="B7" s="1" t="s">
        <v>4</v>
      </c>
      <c r="C7" s="12"/>
      <c r="D7" s="12"/>
      <c r="E7">
        <v>2</v>
      </c>
      <c r="F7">
        <v>2</v>
      </c>
      <c r="G7" s="12"/>
      <c r="H7" s="12"/>
      <c r="I7" s="12"/>
      <c r="J7" s="5" t="e">
        <f t="shared" si="0"/>
        <v>#N/A</v>
      </c>
    </row>
    <row r="8" spans="1:11" x14ac:dyDescent="0.3">
      <c r="A8" s="1">
        <v>45973</v>
      </c>
      <c r="B8" s="1" t="s">
        <v>5</v>
      </c>
      <c r="C8">
        <v>8</v>
      </c>
      <c r="D8">
        <v>8</v>
      </c>
      <c r="E8">
        <v>8</v>
      </c>
      <c r="F8">
        <v>8</v>
      </c>
      <c r="G8">
        <v>34117</v>
      </c>
      <c r="H8">
        <v>13</v>
      </c>
      <c r="I8">
        <v>31668</v>
      </c>
      <c r="J8" s="5">
        <f t="shared" si="0"/>
        <v>0.92821760412697485</v>
      </c>
    </row>
    <row r="9" spans="1:11" x14ac:dyDescent="0.3">
      <c r="A9" s="1">
        <v>45973</v>
      </c>
      <c r="B9" s="1" t="s">
        <v>4</v>
      </c>
      <c r="C9" s="12"/>
      <c r="D9" s="12"/>
      <c r="E9">
        <v>2</v>
      </c>
      <c r="F9">
        <v>2</v>
      </c>
      <c r="G9" s="12"/>
      <c r="H9" s="12"/>
      <c r="I9" s="12"/>
      <c r="J9" s="5" t="e">
        <f t="shared" si="0"/>
        <v>#N/A</v>
      </c>
    </row>
    <row r="10" spans="1:11" x14ac:dyDescent="0.3">
      <c r="A10" s="1">
        <v>45974</v>
      </c>
      <c r="B10" s="1" t="s">
        <v>5</v>
      </c>
      <c r="C10">
        <v>7</v>
      </c>
      <c r="D10">
        <v>7</v>
      </c>
      <c r="E10">
        <v>6</v>
      </c>
      <c r="F10">
        <v>6</v>
      </c>
      <c r="G10">
        <v>34117</v>
      </c>
      <c r="H10">
        <v>13</v>
      </c>
      <c r="I10">
        <v>31668</v>
      </c>
      <c r="J10" s="5">
        <f t="shared" si="0"/>
        <v>0.92821760412697485</v>
      </c>
    </row>
    <row r="11" spans="1:11" x14ac:dyDescent="0.3">
      <c r="A11" s="1">
        <v>45974</v>
      </c>
      <c r="B11" s="1" t="s">
        <v>4</v>
      </c>
      <c r="C11" s="12"/>
      <c r="D11" s="12"/>
      <c r="E11">
        <v>2</v>
      </c>
      <c r="F11">
        <v>2</v>
      </c>
      <c r="G11" s="12"/>
      <c r="H11" s="12"/>
      <c r="I11" s="12"/>
      <c r="J11" s="5" t="e">
        <f t="shared" si="0"/>
        <v>#N/A</v>
      </c>
    </row>
    <row r="12" spans="1:11" x14ac:dyDescent="0.3">
      <c r="A12" s="1">
        <v>45975</v>
      </c>
      <c r="B12" s="1" t="s">
        <v>5</v>
      </c>
      <c r="C12">
        <v>6</v>
      </c>
      <c r="D12">
        <v>6</v>
      </c>
      <c r="E12">
        <v>2</v>
      </c>
      <c r="F12">
        <v>2</v>
      </c>
      <c r="G12">
        <v>21926</v>
      </c>
      <c r="H12">
        <v>8</v>
      </c>
      <c r="I12">
        <v>20979</v>
      </c>
      <c r="J12" s="5">
        <f t="shared" si="0"/>
        <v>0.95680926753625828</v>
      </c>
    </row>
    <row r="13" spans="1:11" x14ac:dyDescent="0.3">
      <c r="A13" s="1">
        <v>45975</v>
      </c>
      <c r="B13" s="1" t="s">
        <v>4</v>
      </c>
      <c r="C13" s="12"/>
      <c r="D13" s="12"/>
      <c r="E13">
        <v>1</v>
      </c>
      <c r="F13">
        <v>1</v>
      </c>
      <c r="G13" s="12"/>
      <c r="H13" s="12"/>
      <c r="I13" s="12"/>
      <c r="J13" s="5" t="e">
        <f t="shared" si="0"/>
        <v>#N/A</v>
      </c>
    </row>
    <row r="14" spans="1:11" x14ac:dyDescent="0.3">
      <c r="A14" s="1">
        <v>45976</v>
      </c>
      <c r="B14" s="1" t="s">
        <v>5</v>
      </c>
      <c r="C14">
        <v>0</v>
      </c>
      <c r="D14">
        <v>0</v>
      </c>
      <c r="E14">
        <v>5</v>
      </c>
      <c r="F14">
        <v>5</v>
      </c>
      <c r="G14">
        <v>49576</v>
      </c>
      <c r="H14">
        <v>17</v>
      </c>
      <c r="I14">
        <v>41245</v>
      </c>
      <c r="J14" s="5">
        <f t="shared" si="0"/>
        <v>0.83195497821526543</v>
      </c>
    </row>
    <row r="15" spans="1:11" x14ac:dyDescent="0.3">
      <c r="A15" s="1">
        <v>45976</v>
      </c>
      <c r="B15" s="1" t="s">
        <v>4</v>
      </c>
      <c r="C15" s="12"/>
      <c r="D15" s="12"/>
      <c r="E15">
        <v>1</v>
      </c>
      <c r="F15">
        <v>1</v>
      </c>
      <c r="G15" s="12"/>
      <c r="H15" s="12"/>
      <c r="I15" s="12"/>
      <c r="J15" s="5" t="e">
        <f t="shared" si="0"/>
        <v>#N/A</v>
      </c>
    </row>
    <row r="16" spans="1:11" x14ac:dyDescent="0.3">
      <c r="A16" s="1">
        <v>45977</v>
      </c>
      <c r="B16" s="1" t="s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5" t="e">
        <f t="shared" ref="J16" si="1">IFERROR(I16/G16, NA())</f>
        <v>#N/A</v>
      </c>
    </row>
    <row r="17" spans="1:10" x14ac:dyDescent="0.3">
      <c r="A17" s="1">
        <v>45977</v>
      </c>
      <c r="B17" s="1" t="s">
        <v>4</v>
      </c>
      <c r="C17" s="12"/>
      <c r="D17" s="12"/>
      <c r="E17">
        <v>0</v>
      </c>
      <c r="F17">
        <v>0</v>
      </c>
      <c r="G17" s="12"/>
      <c r="H17" s="12"/>
      <c r="I17" s="12"/>
    </row>
    <row r="18" spans="1:10" x14ac:dyDescent="0.3">
      <c r="A18" s="1">
        <v>45978</v>
      </c>
      <c r="B18" s="1" t="s">
        <v>5</v>
      </c>
      <c r="C18">
        <v>0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 s="5" t="e">
        <f t="shared" si="0"/>
        <v>#N/A</v>
      </c>
    </row>
    <row r="19" spans="1:10" x14ac:dyDescent="0.3">
      <c r="A19" s="1">
        <v>45978</v>
      </c>
      <c r="B19" s="1" t="s">
        <v>4</v>
      </c>
      <c r="C19" s="12"/>
      <c r="D19" s="12"/>
      <c r="E19">
        <v>1</v>
      </c>
      <c r="F19">
        <v>1</v>
      </c>
      <c r="G19" s="12"/>
      <c r="H19" s="12"/>
      <c r="I19" s="12"/>
      <c r="J19" s="5" t="e">
        <f t="shared" si="0"/>
        <v>#N/A</v>
      </c>
    </row>
    <row r="20" spans="1:10" x14ac:dyDescent="0.3">
      <c r="A20" s="1">
        <v>45979</v>
      </c>
      <c r="B20" s="1" t="s">
        <v>5</v>
      </c>
      <c r="C20">
        <v>9</v>
      </c>
      <c r="D20">
        <v>8</v>
      </c>
      <c r="E20">
        <v>9</v>
      </c>
      <c r="F20">
        <v>9</v>
      </c>
      <c r="G20">
        <v>23834</v>
      </c>
      <c r="H20">
        <v>15</v>
      </c>
      <c r="I20">
        <v>22943</v>
      </c>
      <c r="J20" s="5">
        <f t="shared" si="0"/>
        <v>0.96261643030964172</v>
      </c>
    </row>
    <row r="21" spans="1:10" x14ac:dyDescent="0.3">
      <c r="A21" s="1">
        <v>45979</v>
      </c>
      <c r="B21" s="1" t="s">
        <v>4</v>
      </c>
      <c r="C21" s="12"/>
      <c r="D21" s="12"/>
      <c r="E21">
        <v>1</v>
      </c>
      <c r="F21">
        <v>1</v>
      </c>
      <c r="G21" s="12"/>
      <c r="H21" s="12"/>
      <c r="I21" s="12"/>
      <c r="J21" s="5" t="e">
        <f t="shared" si="0"/>
        <v>#N/A</v>
      </c>
    </row>
    <row r="22" spans="1:10" x14ac:dyDescent="0.3">
      <c r="A22" s="1">
        <v>45980</v>
      </c>
      <c r="B22" s="1" t="s">
        <v>5</v>
      </c>
      <c r="C22">
        <v>6</v>
      </c>
      <c r="D22">
        <v>5</v>
      </c>
      <c r="E22">
        <v>11</v>
      </c>
      <c r="F22">
        <v>10</v>
      </c>
      <c r="G22">
        <v>21846</v>
      </c>
      <c r="H22">
        <v>11</v>
      </c>
      <c r="I22">
        <v>21484</v>
      </c>
    </row>
    <row r="23" spans="1:10" x14ac:dyDescent="0.3">
      <c r="A23" s="1">
        <v>45980</v>
      </c>
      <c r="B23" s="1" t="s">
        <v>4</v>
      </c>
      <c r="C23" s="12"/>
      <c r="D23" s="12"/>
      <c r="E23">
        <v>1</v>
      </c>
      <c r="F23">
        <v>1</v>
      </c>
      <c r="G23" s="12"/>
      <c r="H23" s="12"/>
      <c r="I23" s="12"/>
      <c r="J23" s="5" t="e">
        <f t="shared" si="0"/>
        <v>#N/A</v>
      </c>
    </row>
    <row r="24" spans="1:10" x14ac:dyDescent="0.3">
      <c r="A24" s="1">
        <v>45981</v>
      </c>
      <c r="B24" s="1" t="s">
        <v>5</v>
      </c>
      <c r="C24">
        <v>9</v>
      </c>
      <c r="D24">
        <v>8</v>
      </c>
      <c r="E24">
        <v>10</v>
      </c>
      <c r="F24">
        <v>10</v>
      </c>
      <c r="G24">
        <v>21623</v>
      </c>
      <c r="H24">
        <v>13</v>
      </c>
      <c r="I24">
        <v>21257</v>
      </c>
      <c r="J24" s="5">
        <f t="shared" si="0"/>
        <v>0.98307357905933501</v>
      </c>
    </row>
    <row r="25" spans="1:10" x14ac:dyDescent="0.3">
      <c r="A25" s="1">
        <v>45981</v>
      </c>
      <c r="B25" s="1" t="s">
        <v>4</v>
      </c>
      <c r="C25" s="12"/>
      <c r="D25" s="12"/>
      <c r="E25">
        <v>4</v>
      </c>
      <c r="F25">
        <v>4</v>
      </c>
      <c r="G25" s="12"/>
      <c r="H25" s="12"/>
      <c r="I25" s="12"/>
      <c r="J25" s="5" t="e">
        <f t="shared" si="0"/>
        <v>#N/A</v>
      </c>
    </row>
    <row r="26" spans="1:10" x14ac:dyDescent="0.3">
      <c r="A26" s="1">
        <v>45982</v>
      </c>
      <c r="B26" s="1" t="s">
        <v>5</v>
      </c>
      <c r="C26">
        <v>9</v>
      </c>
      <c r="D26">
        <v>9</v>
      </c>
      <c r="E26">
        <v>12</v>
      </c>
      <c r="F26">
        <v>12</v>
      </c>
      <c r="G26">
        <v>38672</v>
      </c>
      <c r="H26">
        <v>14</v>
      </c>
      <c r="I26">
        <v>37284</v>
      </c>
      <c r="J26" s="5">
        <f t="shared" si="0"/>
        <v>0.96410839884153909</v>
      </c>
    </row>
    <row r="27" spans="1:10" x14ac:dyDescent="0.3">
      <c r="A27" s="1">
        <v>45982</v>
      </c>
      <c r="B27" s="1" t="s">
        <v>4</v>
      </c>
      <c r="C27" s="12"/>
      <c r="D27" s="12"/>
      <c r="E27">
        <v>2</v>
      </c>
      <c r="F27">
        <v>2</v>
      </c>
      <c r="G27" s="12"/>
      <c r="H27" s="12"/>
      <c r="I27" s="12"/>
      <c r="J27" s="5" t="e">
        <f t="shared" si="0"/>
        <v>#N/A</v>
      </c>
    </row>
    <row r="28" spans="1:10" x14ac:dyDescent="0.3">
      <c r="A28" s="1">
        <v>45983</v>
      </c>
      <c r="B28" s="1" t="s">
        <v>5</v>
      </c>
      <c r="C28">
        <v>2</v>
      </c>
      <c r="D28">
        <v>2</v>
      </c>
      <c r="E28">
        <v>9</v>
      </c>
      <c r="F28">
        <v>9</v>
      </c>
      <c r="G28">
        <v>24029</v>
      </c>
      <c r="H28">
        <v>19</v>
      </c>
      <c r="I28">
        <v>22179</v>
      </c>
      <c r="J28" s="5">
        <f t="shared" si="0"/>
        <v>0.92300969661658827</v>
      </c>
    </row>
    <row r="29" spans="1:10" x14ac:dyDescent="0.3">
      <c r="A29" s="1">
        <v>45983</v>
      </c>
      <c r="B29" s="1" t="s">
        <v>4</v>
      </c>
      <c r="C29" s="12"/>
      <c r="D29" s="12"/>
      <c r="E29">
        <v>0</v>
      </c>
      <c r="F29">
        <v>0</v>
      </c>
      <c r="G29" s="12"/>
      <c r="H29" s="12"/>
      <c r="I29" s="12"/>
      <c r="J29" s="5" t="e">
        <f t="shared" si="0"/>
        <v>#N/A</v>
      </c>
    </row>
    <row r="30" spans="1:10" x14ac:dyDescent="0.3">
      <c r="A30" s="1">
        <v>45984</v>
      </c>
      <c r="B30" s="1" t="s">
        <v>5</v>
      </c>
      <c r="C30">
        <v>0</v>
      </c>
      <c r="D30">
        <v>0</v>
      </c>
      <c r="E30">
        <v>0</v>
      </c>
      <c r="F30">
        <v>0</v>
      </c>
      <c r="G30">
        <v>6040</v>
      </c>
      <c r="H30">
        <v>3</v>
      </c>
      <c r="I30">
        <v>6040</v>
      </c>
      <c r="J30" s="5">
        <f t="shared" si="0"/>
        <v>1</v>
      </c>
    </row>
    <row r="31" spans="1:10" x14ac:dyDescent="0.3">
      <c r="A31" s="1">
        <v>45984</v>
      </c>
      <c r="B31" s="1" t="s">
        <v>4</v>
      </c>
      <c r="C31" s="12"/>
      <c r="D31" s="12"/>
      <c r="E31">
        <v>0</v>
      </c>
      <c r="F31">
        <v>0</v>
      </c>
      <c r="G31" s="12"/>
      <c r="H31" s="12"/>
      <c r="I31" s="12"/>
      <c r="J31" s="5" t="e">
        <f t="shared" si="0"/>
        <v>#N/A</v>
      </c>
    </row>
    <row r="32" spans="1:10" x14ac:dyDescent="0.3">
      <c r="A32" s="1">
        <v>45985</v>
      </c>
      <c r="B32" s="1" t="s">
        <v>5</v>
      </c>
      <c r="C32">
        <v>0</v>
      </c>
      <c r="D32">
        <v>0</v>
      </c>
      <c r="E32">
        <v>0</v>
      </c>
      <c r="F32">
        <v>0</v>
      </c>
      <c r="G32">
        <v>15866</v>
      </c>
      <c r="H32">
        <v>6</v>
      </c>
      <c r="I32">
        <v>15604</v>
      </c>
      <c r="J32" s="5">
        <f t="shared" si="0"/>
        <v>0.98348670112189585</v>
      </c>
    </row>
    <row r="33" spans="1:10" x14ac:dyDescent="0.3">
      <c r="A33" s="1">
        <v>45985</v>
      </c>
      <c r="B33" s="1" t="s">
        <v>4</v>
      </c>
      <c r="C33" s="12"/>
      <c r="D33" s="12"/>
      <c r="E33">
        <v>0</v>
      </c>
      <c r="F33">
        <v>0</v>
      </c>
      <c r="G33" s="12"/>
      <c r="H33" s="12"/>
      <c r="I33" s="12"/>
      <c r="J33" s="5" t="e">
        <f t="shared" si="0"/>
        <v>#N/A</v>
      </c>
    </row>
    <row r="34" spans="1:10" x14ac:dyDescent="0.3">
      <c r="A34" s="1">
        <v>45986</v>
      </c>
      <c r="B34" s="1" t="s">
        <v>5</v>
      </c>
      <c r="C34">
        <v>11</v>
      </c>
      <c r="D34">
        <v>9</v>
      </c>
      <c r="E34">
        <v>8</v>
      </c>
      <c r="F34">
        <v>8</v>
      </c>
      <c r="G34">
        <v>22792</v>
      </c>
      <c r="H34">
        <v>9</v>
      </c>
      <c r="I34">
        <v>15644</v>
      </c>
      <c r="J34" s="5">
        <f t="shared" si="0"/>
        <v>0.68638118638118639</v>
      </c>
    </row>
    <row r="35" spans="1:10" x14ac:dyDescent="0.3">
      <c r="A35" s="1">
        <v>45986</v>
      </c>
      <c r="B35" s="1" t="s">
        <v>4</v>
      </c>
      <c r="C35" s="12"/>
      <c r="D35" s="12"/>
      <c r="E35">
        <v>4</v>
      </c>
      <c r="F35">
        <v>4</v>
      </c>
      <c r="G35" s="12"/>
      <c r="H35" s="12"/>
      <c r="I35" s="12"/>
      <c r="J35" s="5" t="e">
        <f t="shared" si="0"/>
        <v>#N/A</v>
      </c>
    </row>
    <row r="36" spans="1:10" x14ac:dyDescent="0.3">
      <c r="A36" s="1">
        <v>45987</v>
      </c>
      <c r="B36" s="1" t="s">
        <v>5</v>
      </c>
      <c r="C36">
        <v>6</v>
      </c>
      <c r="D36">
        <v>6</v>
      </c>
      <c r="E36">
        <v>9</v>
      </c>
      <c r="F36">
        <v>9</v>
      </c>
      <c r="G36">
        <v>35000</v>
      </c>
      <c r="H36">
        <v>18</v>
      </c>
      <c r="I36">
        <v>29688</v>
      </c>
      <c r="J36" s="5">
        <f t="shared" si="0"/>
        <v>0.84822857142857144</v>
      </c>
    </row>
    <row r="37" spans="1:10" x14ac:dyDescent="0.3">
      <c r="A37" s="1">
        <v>45987</v>
      </c>
      <c r="B37" s="1" t="s">
        <v>4</v>
      </c>
      <c r="C37" s="12"/>
      <c r="D37" s="12"/>
      <c r="E37">
        <v>2</v>
      </c>
      <c r="F37">
        <v>2</v>
      </c>
      <c r="G37" s="12"/>
      <c r="H37" s="12"/>
      <c r="I37" s="12"/>
      <c r="J37" s="5" t="e">
        <f t="shared" si="0"/>
        <v>#N/A</v>
      </c>
    </row>
    <row r="38" spans="1:10" x14ac:dyDescent="0.3">
      <c r="A38" s="1">
        <v>45988</v>
      </c>
      <c r="B38" s="1" t="s">
        <v>5</v>
      </c>
      <c r="C38">
        <v>4</v>
      </c>
      <c r="D38">
        <v>4</v>
      </c>
      <c r="E38">
        <v>2</v>
      </c>
      <c r="F38">
        <v>2</v>
      </c>
      <c r="G38">
        <v>31163</v>
      </c>
      <c r="H38">
        <v>12</v>
      </c>
      <c r="I38">
        <v>29716</v>
      </c>
      <c r="J38" s="5">
        <f t="shared" si="0"/>
        <v>0.95356672977569557</v>
      </c>
    </row>
    <row r="39" spans="1:10" x14ac:dyDescent="0.3">
      <c r="A39" s="1">
        <v>45988</v>
      </c>
      <c r="B39" s="1" t="s">
        <v>4</v>
      </c>
      <c r="C39" s="12"/>
      <c r="D39" s="12"/>
      <c r="E39">
        <v>3</v>
      </c>
      <c r="F39">
        <v>3</v>
      </c>
      <c r="G39" s="12"/>
      <c r="H39" s="12"/>
      <c r="I39" s="12"/>
      <c r="J39" s="5" t="e">
        <f t="shared" si="0"/>
        <v>#N/A</v>
      </c>
    </row>
    <row r="40" spans="1:10" x14ac:dyDescent="0.3">
      <c r="A40" s="1">
        <v>45990</v>
      </c>
      <c r="B40" s="1" t="s">
        <v>5</v>
      </c>
      <c r="C40" s="13">
        <v>0</v>
      </c>
      <c r="D40" s="13">
        <v>1</v>
      </c>
      <c r="E40" s="13">
        <v>0</v>
      </c>
      <c r="F40" s="13">
        <v>0</v>
      </c>
      <c r="G40" s="13">
        <v>25860</v>
      </c>
      <c r="H40" s="13">
        <v>10</v>
      </c>
      <c r="I40" s="13">
        <v>25454</v>
      </c>
      <c r="J40" s="14"/>
    </row>
    <row r="41" spans="1:10" x14ac:dyDescent="0.3">
      <c r="A41" s="1">
        <v>45990</v>
      </c>
      <c r="B41" s="1" t="s">
        <v>4</v>
      </c>
      <c r="C41" s="12"/>
      <c r="D41" s="12"/>
      <c r="E41">
        <v>0</v>
      </c>
      <c r="F41">
        <v>0</v>
      </c>
      <c r="G41" s="12"/>
      <c r="H41" s="12"/>
      <c r="I41" s="12"/>
    </row>
    <row r="42" spans="1:10" x14ac:dyDescent="0.3">
      <c r="A42" s="1">
        <v>45991</v>
      </c>
      <c r="B42" s="1" t="s">
        <v>5</v>
      </c>
      <c r="C42">
        <v>0</v>
      </c>
      <c r="D42">
        <v>0</v>
      </c>
      <c r="E42">
        <v>0</v>
      </c>
      <c r="F42">
        <v>0</v>
      </c>
      <c r="G42">
        <v>10908</v>
      </c>
      <c r="H42">
        <v>5</v>
      </c>
      <c r="I42">
        <v>10908</v>
      </c>
      <c r="J42" s="5">
        <f t="shared" ref="J42:J43" si="2">IFERROR(I42/G42, NA())</f>
        <v>1</v>
      </c>
    </row>
    <row r="43" spans="1:10" x14ac:dyDescent="0.3">
      <c r="A43" s="1">
        <v>45991</v>
      </c>
      <c r="B43" s="1" t="s">
        <v>4</v>
      </c>
      <c r="C43" s="12"/>
      <c r="D43" s="12"/>
      <c r="E43">
        <v>0</v>
      </c>
      <c r="F43">
        <v>0</v>
      </c>
      <c r="G43" s="12"/>
      <c r="H43" s="12"/>
      <c r="I43" s="12"/>
      <c r="J43" s="5" t="e">
        <f t="shared" si="2"/>
        <v>#N/A</v>
      </c>
    </row>
    <row r="44" spans="1:10" x14ac:dyDescent="0.3">
      <c r="A44" s="1">
        <v>45992</v>
      </c>
      <c r="B44" s="1" t="s">
        <v>5</v>
      </c>
      <c r="C44">
        <v>7</v>
      </c>
      <c r="D44">
        <v>7</v>
      </c>
      <c r="E44">
        <v>0</v>
      </c>
      <c r="F44">
        <v>0</v>
      </c>
      <c r="G44">
        <v>754</v>
      </c>
      <c r="H44">
        <v>2</v>
      </c>
      <c r="I44">
        <v>754</v>
      </c>
      <c r="J44" s="5">
        <f t="shared" si="0"/>
        <v>1</v>
      </c>
    </row>
    <row r="45" spans="1:10" x14ac:dyDescent="0.3">
      <c r="A45" s="1">
        <v>45992</v>
      </c>
      <c r="B45" s="1" t="s">
        <v>4</v>
      </c>
      <c r="C45" s="12"/>
      <c r="D45" s="12"/>
      <c r="E45">
        <v>2</v>
      </c>
      <c r="F45">
        <v>2</v>
      </c>
      <c r="G45" s="12"/>
      <c r="H45" s="12"/>
      <c r="I45" s="12"/>
      <c r="J45" s="5" t="e">
        <f t="shared" si="0"/>
        <v>#N/A</v>
      </c>
    </row>
    <row r="46" spans="1:10" x14ac:dyDescent="0.3">
      <c r="A46" s="1">
        <v>45993</v>
      </c>
      <c r="B46" s="1" t="s">
        <v>5</v>
      </c>
      <c r="C46">
        <v>8</v>
      </c>
      <c r="D46">
        <v>8</v>
      </c>
      <c r="E46">
        <v>0</v>
      </c>
      <c r="F46">
        <v>0</v>
      </c>
      <c r="G46">
        <v>14389</v>
      </c>
      <c r="H46">
        <v>6</v>
      </c>
      <c r="I46">
        <v>13506</v>
      </c>
      <c r="J46" s="5">
        <f t="shared" si="0"/>
        <v>0.93863367850441304</v>
      </c>
    </row>
    <row r="47" spans="1:10" x14ac:dyDescent="0.3">
      <c r="A47" s="1">
        <v>45993</v>
      </c>
      <c r="B47" s="1" t="s">
        <v>4</v>
      </c>
      <c r="C47" s="12"/>
      <c r="D47" s="12"/>
      <c r="E47">
        <v>1</v>
      </c>
      <c r="F47">
        <v>1</v>
      </c>
      <c r="G47" s="12"/>
      <c r="H47" s="12"/>
      <c r="I47" s="12"/>
      <c r="J47" s="5" t="e">
        <f t="shared" si="0"/>
        <v>#N/A</v>
      </c>
    </row>
    <row r="48" spans="1:10" x14ac:dyDescent="0.3">
      <c r="A48" s="1">
        <v>45994</v>
      </c>
      <c r="B48" s="1" t="s">
        <v>5</v>
      </c>
      <c r="C48">
        <v>0</v>
      </c>
      <c r="D48">
        <v>0</v>
      </c>
      <c r="E48">
        <v>0</v>
      </c>
      <c r="F48">
        <v>0</v>
      </c>
      <c r="G48">
        <v>17309</v>
      </c>
      <c r="H48">
        <v>11</v>
      </c>
      <c r="I48">
        <v>17191</v>
      </c>
      <c r="J48" s="5">
        <f t="shared" si="0"/>
        <v>0.99318273730429252</v>
      </c>
    </row>
    <row r="49" spans="1:10" x14ac:dyDescent="0.3">
      <c r="A49" s="1">
        <v>45994</v>
      </c>
      <c r="B49" s="1" t="s">
        <v>4</v>
      </c>
      <c r="C49" s="12"/>
      <c r="D49" s="12"/>
      <c r="E49">
        <v>0</v>
      </c>
      <c r="F49">
        <v>0</v>
      </c>
      <c r="G49" s="12"/>
      <c r="H49" s="12"/>
      <c r="I49" s="12"/>
      <c r="J49" s="5" t="e">
        <f t="shared" si="0"/>
        <v>#N/A</v>
      </c>
    </row>
    <row r="50" spans="1:10" x14ac:dyDescent="0.3">
      <c r="A50" s="1">
        <v>45995</v>
      </c>
      <c r="B50" s="1" t="s">
        <v>5</v>
      </c>
      <c r="C50">
        <v>0</v>
      </c>
      <c r="D50">
        <v>0</v>
      </c>
      <c r="E50">
        <v>0</v>
      </c>
      <c r="F50">
        <v>0</v>
      </c>
      <c r="G50">
        <v>37509</v>
      </c>
      <c r="H50">
        <v>19</v>
      </c>
      <c r="I50">
        <v>35836</v>
      </c>
      <c r="J50" s="5">
        <f t="shared" si="0"/>
        <v>0.9553973712975552</v>
      </c>
    </row>
    <row r="51" spans="1:10" x14ac:dyDescent="0.3">
      <c r="A51" s="1">
        <v>45995</v>
      </c>
      <c r="B51" s="1" t="s">
        <v>4</v>
      </c>
      <c r="C51" s="12"/>
      <c r="D51" s="12"/>
      <c r="E51">
        <v>0</v>
      </c>
      <c r="F51">
        <v>0</v>
      </c>
      <c r="G51" s="12"/>
      <c r="H51" s="12"/>
      <c r="I51" s="12"/>
      <c r="J51" s="5" t="e">
        <f t="shared" si="0"/>
        <v>#N/A</v>
      </c>
    </row>
    <row r="52" spans="1:10" x14ac:dyDescent="0.3">
      <c r="A52" s="1">
        <v>45996</v>
      </c>
      <c r="B52" s="1" t="s">
        <v>5</v>
      </c>
      <c r="C52">
        <v>0</v>
      </c>
      <c r="D52">
        <v>0</v>
      </c>
      <c r="E52">
        <v>0</v>
      </c>
      <c r="F52">
        <v>0</v>
      </c>
      <c r="G52">
        <v>19703</v>
      </c>
      <c r="H52">
        <v>7</v>
      </c>
      <c r="I52">
        <v>19371</v>
      </c>
      <c r="J52" s="5">
        <f t="shared" si="0"/>
        <v>0.98314977414606908</v>
      </c>
    </row>
    <row r="53" spans="1:10" x14ac:dyDescent="0.3">
      <c r="A53" s="1">
        <v>45996</v>
      </c>
      <c r="B53" s="1" t="s">
        <v>4</v>
      </c>
      <c r="C53" s="12"/>
      <c r="D53" s="12"/>
      <c r="E53">
        <v>0</v>
      </c>
      <c r="F53">
        <v>0</v>
      </c>
      <c r="G53" s="12"/>
      <c r="H53" s="12"/>
      <c r="I53" s="12"/>
      <c r="J53" s="5" t="e">
        <f t="shared" si="0"/>
        <v>#N/A</v>
      </c>
    </row>
    <row r="54" spans="1:10" x14ac:dyDescent="0.3">
      <c r="A54" s="1">
        <v>45997</v>
      </c>
      <c r="B54" s="1" t="s">
        <v>5</v>
      </c>
      <c r="C54">
        <v>0</v>
      </c>
      <c r="D54">
        <v>0</v>
      </c>
      <c r="E54">
        <v>0</v>
      </c>
      <c r="F54">
        <v>0</v>
      </c>
      <c r="G54">
        <v>19789</v>
      </c>
      <c r="H54">
        <v>9</v>
      </c>
      <c r="I54">
        <v>19181</v>
      </c>
      <c r="J54" s="5">
        <f t="shared" si="0"/>
        <v>0.96927586032644397</v>
      </c>
    </row>
    <row r="55" spans="1:10" x14ac:dyDescent="0.3">
      <c r="A55" s="1">
        <v>45997</v>
      </c>
      <c r="B55" s="1" t="s">
        <v>4</v>
      </c>
      <c r="C55" s="12"/>
      <c r="D55" s="12"/>
      <c r="E55">
        <v>0</v>
      </c>
      <c r="F55">
        <v>0</v>
      </c>
      <c r="G55" s="12"/>
      <c r="H55" s="12"/>
      <c r="I55" s="12"/>
      <c r="J55" s="5" t="e">
        <f t="shared" si="0"/>
        <v>#N/A</v>
      </c>
    </row>
    <row r="56" spans="1:10" x14ac:dyDescent="0.3">
      <c r="A56" s="1">
        <v>45998</v>
      </c>
      <c r="B56" s="1" t="s">
        <v>5</v>
      </c>
      <c r="C56">
        <v>0</v>
      </c>
      <c r="D56">
        <v>0</v>
      </c>
      <c r="E56">
        <v>0</v>
      </c>
      <c r="F56">
        <v>0</v>
      </c>
      <c r="G56">
        <v>1747</v>
      </c>
      <c r="H56">
        <v>2</v>
      </c>
      <c r="I56">
        <v>1747</v>
      </c>
      <c r="J56" s="5">
        <f t="shared" si="0"/>
        <v>1</v>
      </c>
    </row>
    <row r="57" spans="1:10" x14ac:dyDescent="0.3">
      <c r="A57" s="1">
        <v>45998</v>
      </c>
      <c r="B57" s="1" t="s">
        <v>4</v>
      </c>
      <c r="C57" s="12"/>
      <c r="D57" s="12"/>
      <c r="E57">
        <v>0</v>
      </c>
      <c r="F57">
        <v>0</v>
      </c>
      <c r="G57" s="12"/>
      <c r="H57" s="12"/>
      <c r="I57" s="12"/>
      <c r="J57" s="5" t="e">
        <f t="shared" si="0"/>
        <v>#N/A</v>
      </c>
    </row>
    <row r="58" spans="1:10" x14ac:dyDescent="0.3">
      <c r="A58" s="1">
        <v>45999</v>
      </c>
      <c r="B58" s="1" t="s">
        <v>5</v>
      </c>
      <c r="C58">
        <v>0</v>
      </c>
      <c r="D58">
        <v>0</v>
      </c>
      <c r="E58">
        <v>0</v>
      </c>
      <c r="F58">
        <v>0</v>
      </c>
      <c r="G58">
        <v>796</v>
      </c>
      <c r="H58">
        <v>2</v>
      </c>
      <c r="I58">
        <v>796</v>
      </c>
      <c r="J58" s="5">
        <f t="shared" si="0"/>
        <v>1</v>
      </c>
    </row>
    <row r="59" spans="1:10" x14ac:dyDescent="0.3">
      <c r="A59" s="1">
        <v>45999</v>
      </c>
      <c r="B59" s="1" t="s">
        <v>4</v>
      </c>
      <c r="C59" s="12"/>
      <c r="D59" s="12"/>
      <c r="E59">
        <v>0</v>
      </c>
      <c r="F59">
        <v>0</v>
      </c>
      <c r="G59" s="12"/>
      <c r="H59" s="12"/>
      <c r="I59" s="12"/>
      <c r="J59" s="5" t="e">
        <f t="shared" si="0"/>
        <v>#N/A</v>
      </c>
    </row>
    <row r="60" spans="1:10" x14ac:dyDescent="0.3">
      <c r="A60" s="1">
        <v>46000</v>
      </c>
      <c r="B60" s="1" t="s">
        <v>5</v>
      </c>
      <c r="C60">
        <v>0</v>
      </c>
      <c r="D60">
        <v>0</v>
      </c>
      <c r="E60">
        <v>0</v>
      </c>
      <c r="F60">
        <v>0</v>
      </c>
      <c r="G60">
        <v>23928</v>
      </c>
      <c r="H60">
        <v>8</v>
      </c>
      <c r="I60">
        <v>23561</v>
      </c>
      <c r="J60" s="5">
        <f t="shared" si="0"/>
        <v>0.98466232029421596</v>
      </c>
    </row>
    <row r="61" spans="1:10" x14ac:dyDescent="0.3">
      <c r="A61" s="1">
        <v>46000</v>
      </c>
      <c r="B61" s="1" t="s">
        <v>4</v>
      </c>
      <c r="C61" s="12"/>
      <c r="D61" s="12"/>
      <c r="E61">
        <v>0</v>
      </c>
      <c r="F61">
        <v>0</v>
      </c>
      <c r="G61" s="12"/>
      <c r="H61" s="12"/>
      <c r="I61" s="12"/>
      <c r="J61" s="5" t="e">
        <f t="shared" si="0"/>
        <v>#N/A</v>
      </c>
    </row>
    <row r="62" spans="1:10" x14ac:dyDescent="0.3">
      <c r="A62" s="1">
        <v>46001</v>
      </c>
      <c r="B62" s="1" t="s">
        <v>5</v>
      </c>
      <c r="C62">
        <v>0</v>
      </c>
      <c r="D62">
        <v>0</v>
      </c>
      <c r="E62">
        <v>0</v>
      </c>
      <c r="F62">
        <v>0</v>
      </c>
      <c r="G62">
        <v>21587</v>
      </c>
      <c r="H62">
        <v>8</v>
      </c>
      <c r="I62">
        <v>20573</v>
      </c>
      <c r="J62" s="5">
        <f t="shared" si="0"/>
        <v>0.95302728494001021</v>
      </c>
    </row>
    <row r="63" spans="1:10" x14ac:dyDescent="0.3">
      <c r="A63" s="1">
        <v>46001</v>
      </c>
      <c r="B63" s="1" t="s">
        <v>4</v>
      </c>
      <c r="C63" s="12"/>
      <c r="D63" s="12"/>
      <c r="E63">
        <v>0</v>
      </c>
      <c r="F63">
        <v>0</v>
      </c>
      <c r="G63" s="12"/>
      <c r="H63" s="12"/>
      <c r="I63" s="12"/>
      <c r="J63" s="5" t="e">
        <f t="shared" si="0"/>
        <v>#N/A</v>
      </c>
    </row>
    <row r="64" spans="1:10" x14ac:dyDescent="0.3">
      <c r="B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607A-C1B9-4189-B78D-8AE019F67D67}">
  <dimension ref="A1:I21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H21" sqref="H21"/>
    </sheetView>
  </sheetViews>
  <sheetFormatPr defaultRowHeight="14.4" x14ac:dyDescent="0.3"/>
  <cols>
    <col min="1" max="1" width="10.5546875" bestFit="1" customWidth="1"/>
    <col min="3" max="3" width="12.109375" style="7" bestFit="1" customWidth="1"/>
    <col min="4" max="4" width="19.109375" bestFit="1" customWidth="1"/>
    <col min="5" max="5" width="12.77734375" customWidth="1"/>
    <col min="6" max="6" width="14.44140625" bestFit="1" customWidth="1"/>
    <col min="7" max="7" width="14.88671875" bestFit="1" customWidth="1"/>
    <col min="8" max="8" width="39.33203125" bestFit="1" customWidth="1"/>
    <col min="9" max="9" width="9.21875" bestFit="1" customWidth="1"/>
  </cols>
  <sheetData>
    <row r="1" spans="1:9" x14ac:dyDescent="0.3">
      <c r="A1" s="2" t="s">
        <v>0</v>
      </c>
      <c r="B1" s="2" t="s">
        <v>22</v>
      </c>
      <c r="C1" s="6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3</v>
      </c>
      <c r="I1" s="2" t="s">
        <v>120</v>
      </c>
    </row>
    <row r="2" spans="1:9" x14ac:dyDescent="0.3">
      <c r="A2" s="1">
        <v>45979</v>
      </c>
      <c r="B2">
        <v>1</v>
      </c>
      <c r="C2" s="7">
        <v>49000</v>
      </c>
      <c r="D2">
        <v>62</v>
      </c>
      <c r="E2">
        <v>79</v>
      </c>
      <c r="F2">
        <v>83</v>
      </c>
      <c r="H2" t="s">
        <v>108</v>
      </c>
    </row>
    <row r="3" spans="1:9" x14ac:dyDescent="0.3">
      <c r="A3" s="1">
        <v>45980</v>
      </c>
      <c r="B3">
        <v>1</v>
      </c>
      <c r="C3" s="7">
        <v>51000</v>
      </c>
      <c r="D3">
        <v>26</v>
      </c>
      <c r="E3">
        <v>87</v>
      </c>
      <c r="F3">
        <v>46</v>
      </c>
    </row>
    <row r="4" spans="1:9" x14ac:dyDescent="0.3">
      <c r="A4" s="1">
        <v>45981</v>
      </c>
      <c r="B4">
        <v>0</v>
      </c>
      <c r="C4" s="7">
        <v>83000</v>
      </c>
      <c r="D4">
        <v>15</v>
      </c>
      <c r="E4">
        <v>82</v>
      </c>
      <c r="F4">
        <v>72</v>
      </c>
      <c r="H4" t="s">
        <v>109</v>
      </c>
    </row>
    <row r="5" spans="1:9" x14ac:dyDescent="0.3">
      <c r="A5" s="1">
        <v>45982</v>
      </c>
      <c r="B5">
        <v>2</v>
      </c>
      <c r="C5" s="7">
        <v>66000</v>
      </c>
      <c r="D5">
        <v>19</v>
      </c>
      <c r="E5">
        <v>89</v>
      </c>
      <c r="F5">
        <v>20</v>
      </c>
    </row>
    <row r="6" spans="1:9" x14ac:dyDescent="0.3">
      <c r="A6" s="1">
        <v>45983</v>
      </c>
      <c r="B6">
        <v>0</v>
      </c>
      <c r="C6" s="7">
        <v>74000</v>
      </c>
      <c r="D6">
        <v>9</v>
      </c>
      <c r="E6">
        <v>94</v>
      </c>
      <c r="F6">
        <v>77</v>
      </c>
      <c r="H6" t="s">
        <v>110</v>
      </c>
    </row>
    <row r="7" spans="1:9" x14ac:dyDescent="0.3">
      <c r="A7" s="1">
        <v>45984</v>
      </c>
      <c r="B7">
        <v>0</v>
      </c>
      <c r="C7" s="7">
        <v>102000</v>
      </c>
      <c r="D7">
        <v>12</v>
      </c>
      <c r="E7">
        <v>41</v>
      </c>
      <c r="F7">
        <v>50</v>
      </c>
    </row>
    <row r="8" spans="1:9" x14ac:dyDescent="0.3">
      <c r="A8" s="1">
        <v>45985</v>
      </c>
      <c r="B8">
        <v>0</v>
      </c>
      <c r="C8" s="7">
        <v>131000</v>
      </c>
      <c r="D8">
        <v>26</v>
      </c>
      <c r="E8">
        <v>93</v>
      </c>
      <c r="F8">
        <v>34</v>
      </c>
    </row>
    <row r="9" spans="1:9" x14ac:dyDescent="0.3">
      <c r="A9" s="1">
        <v>45986</v>
      </c>
      <c r="B9">
        <v>0</v>
      </c>
      <c r="C9" s="7">
        <v>141000</v>
      </c>
      <c r="D9">
        <v>37</v>
      </c>
      <c r="E9">
        <v>88</v>
      </c>
      <c r="F9">
        <v>45</v>
      </c>
      <c r="H9" t="s">
        <v>111</v>
      </c>
    </row>
    <row r="10" spans="1:9" x14ac:dyDescent="0.3">
      <c r="A10" s="1">
        <v>45987</v>
      </c>
      <c r="B10">
        <v>1</v>
      </c>
      <c r="C10" s="7">
        <v>80000</v>
      </c>
      <c r="D10">
        <v>13</v>
      </c>
      <c r="E10">
        <v>110</v>
      </c>
      <c r="F10">
        <v>56</v>
      </c>
    </row>
    <row r="11" spans="1:9" x14ac:dyDescent="0.3">
      <c r="A11" s="1">
        <v>45988</v>
      </c>
      <c r="B11">
        <v>0</v>
      </c>
      <c r="C11" s="7">
        <v>63000</v>
      </c>
      <c r="D11">
        <v>5</v>
      </c>
      <c r="E11">
        <v>93</v>
      </c>
      <c r="F11">
        <v>38</v>
      </c>
    </row>
    <row r="12" spans="1:9" x14ac:dyDescent="0.3">
      <c r="A12" s="1">
        <v>45992</v>
      </c>
      <c r="B12">
        <v>0</v>
      </c>
      <c r="C12" s="7">
        <v>0</v>
      </c>
      <c r="D12">
        <v>0</v>
      </c>
      <c r="E12">
        <v>0</v>
      </c>
      <c r="F12">
        <v>5</v>
      </c>
    </row>
    <row r="13" spans="1:9" x14ac:dyDescent="0.3">
      <c r="A13" s="1">
        <v>45993</v>
      </c>
      <c r="B13">
        <v>1</v>
      </c>
      <c r="C13" s="7">
        <v>2000</v>
      </c>
      <c r="D13">
        <v>6</v>
      </c>
      <c r="E13">
        <v>100</v>
      </c>
      <c r="F13">
        <v>3</v>
      </c>
    </row>
    <row r="14" spans="1:9" x14ac:dyDescent="0.3">
      <c r="A14" s="1">
        <v>45994</v>
      </c>
      <c r="B14">
        <v>0</v>
      </c>
      <c r="C14" s="7">
        <v>2500</v>
      </c>
      <c r="D14">
        <v>3</v>
      </c>
      <c r="E14">
        <v>105</v>
      </c>
      <c r="F14">
        <v>0</v>
      </c>
    </row>
    <row r="15" spans="1:9" x14ac:dyDescent="0.3">
      <c r="A15" s="1">
        <v>45995</v>
      </c>
      <c r="B15">
        <v>0</v>
      </c>
      <c r="C15" s="7">
        <v>1400</v>
      </c>
      <c r="D15">
        <v>16</v>
      </c>
      <c r="E15">
        <v>83</v>
      </c>
      <c r="F15">
        <v>10</v>
      </c>
    </row>
    <row r="16" spans="1:9" x14ac:dyDescent="0.3">
      <c r="A16" s="1">
        <v>45996</v>
      </c>
      <c r="B16">
        <v>0</v>
      </c>
      <c r="C16" s="7">
        <v>2500</v>
      </c>
      <c r="D16">
        <v>13</v>
      </c>
      <c r="E16">
        <v>87</v>
      </c>
      <c r="F16">
        <v>0</v>
      </c>
    </row>
    <row r="17" spans="1:8" x14ac:dyDescent="0.3">
      <c r="A17" s="1">
        <v>45997</v>
      </c>
      <c r="B17">
        <v>0</v>
      </c>
      <c r="C17" s="7">
        <v>3000</v>
      </c>
      <c r="D17">
        <v>7</v>
      </c>
      <c r="E17">
        <v>23</v>
      </c>
      <c r="F17">
        <v>0</v>
      </c>
      <c r="H17" t="s">
        <v>112</v>
      </c>
    </row>
    <row r="18" spans="1:8" x14ac:dyDescent="0.3">
      <c r="A18" s="1">
        <v>45998</v>
      </c>
      <c r="B18">
        <v>0</v>
      </c>
      <c r="C18" s="7">
        <v>0</v>
      </c>
      <c r="D18">
        <v>0</v>
      </c>
      <c r="E18">
        <v>30</v>
      </c>
      <c r="F18">
        <v>1</v>
      </c>
      <c r="H18" t="s">
        <v>113</v>
      </c>
    </row>
    <row r="19" spans="1:8" x14ac:dyDescent="0.3">
      <c r="A19" s="1">
        <v>45999</v>
      </c>
      <c r="B19">
        <v>0</v>
      </c>
      <c r="C19" s="7">
        <v>17000</v>
      </c>
      <c r="D19">
        <v>0</v>
      </c>
      <c r="E19">
        <v>0</v>
      </c>
      <c r="F19">
        <v>0</v>
      </c>
    </row>
    <row r="20" spans="1:8" x14ac:dyDescent="0.3">
      <c r="A20" s="1">
        <v>46000</v>
      </c>
      <c r="B20">
        <v>0</v>
      </c>
      <c r="C20" s="7">
        <v>34000</v>
      </c>
      <c r="D20">
        <v>3</v>
      </c>
      <c r="E20">
        <v>96</v>
      </c>
      <c r="F20">
        <v>10</v>
      </c>
      <c r="H20" t="s">
        <v>125</v>
      </c>
    </row>
    <row r="21" spans="1:8" x14ac:dyDescent="0.3">
      <c r="A21" s="1">
        <v>46001</v>
      </c>
      <c r="B21">
        <v>0</v>
      </c>
      <c r="C21" s="7">
        <v>0</v>
      </c>
      <c r="D21">
        <v>26</v>
      </c>
      <c r="E21">
        <v>120</v>
      </c>
      <c r="F21">
        <v>8</v>
      </c>
      <c r="H21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B2F6-7952-4389-9B72-38F30BFFE905}">
  <dimension ref="A1:I32"/>
  <sheetViews>
    <sheetView workbookViewId="0">
      <pane xSplit="1" ySplit="1" topLeftCell="B8" activePane="bottomRight" state="frozen"/>
      <selection pane="topRight" activeCell="C1" sqref="C1"/>
      <selection pane="bottomLeft" activeCell="A2" sqref="A2"/>
      <selection pane="bottomRight" activeCell="A32" sqref="A32"/>
    </sheetView>
  </sheetViews>
  <sheetFormatPr defaultRowHeight="14.4" x14ac:dyDescent="0.3"/>
  <cols>
    <col min="1" max="1" width="10.5546875" bestFit="1" customWidth="1"/>
    <col min="2" max="2" width="22.21875" bestFit="1" customWidth="1"/>
    <col min="3" max="3" width="19.5546875" bestFit="1" customWidth="1"/>
    <col min="4" max="4" width="14.21875" bestFit="1" customWidth="1"/>
    <col min="5" max="5" width="24.88671875" bestFit="1" customWidth="1"/>
    <col min="6" max="6" width="9.109375" bestFit="1" customWidth="1"/>
    <col min="7" max="7" width="11.6640625" bestFit="1" customWidth="1"/>
    <col min="8" max="8" width="14.5546875" bestFit="1" customWidth="1"/>
    <col min="9" max="9" width="9.21875" bestFit="1" customWidth="1"/>
  </cols>
  <sheetData>
    <row r="1" spans="1:9" x14ac:dyDescent="0.3">
      <c r="A1" s="2" t="s">
        <v>0</v>
      </c>
      <c r="B1" s="2" t="s">
        <v>28</v>
      </c>
      <c r="C1" s="2" t="s">
        <v>31</v>
      </c>
      <c r="D1" s="2" t="s">
        <v>115</v>
      </c>
      <c r="E1" s="2" t="s">
        <v>114</v>
      </c>
      <c r="F1" s="2" t="s">
        <v>32</v>
      </c>
      <c r="G1" s="2" t="s">
        <v>33</v>
      </c>
      <c r="H1" s="2" t="s">
        <v>34</v>
      </c>
      <c r="I1" s="2" t="s">
        <v>120</v>
      </c>
    </row>
    <row r="2" spans="1:9" x14ac:dyDescent="0.3">
      <c r="A2" s="1">
        <v>45971</v>
      </c>
      <c r="B2">
        <v>25</v>
      </c>
      <c r="C2">
        <v>19</v>
      </c>
      <c r="D2">
        <v>37</v>
      </c>
      <c r="E2">
        <v>2</v>
      </c>
      <c r="F2">
        <v>100</v>
      </c>
      <c r="G2">
        <v>2</v>
      </c>
      <c r="H2">
        <v>8</v>
      </c>
    </row>
    <row r="3" spans="1:9" x14ac:dyDescent="0.3">
      <c r="A3" s="1">
        <v>45972</v>
      </c>
      <c r="B3">
        <v>27</v>
      </c>
      <c r="C3">
        <v>26</v>
      </c>
      <c r="D3">
        <v>1</v>
      </c>
      <c r="E3">
        <v>0</v>
      </c>
      <c r="F3">
        <v>0</v>
      </c>
      <c r="G3">
        <v>10</v>
      </c>
      <c r="H3">
        <v>3</v>
      </c>
    </row>
    <row r="4" spans="1:9" x14ac:dyDescent="0.3">
      <c r="A4" s="1">
        <v>45973</v>
      </c>
      <c r="B4">
        <v>27</v>
      </c>
      <c r="C4">
        <v>25</v>
      </c>
      <c r="D4">
        <v>7</v>
      </c>
      <c r="E4">
        <v>2</v>
      </c>
      <c r="F4">
        <v>0</v>
      </c>
      <c r="G4">
        <v>5</v>
      </c>
      <c r="H4">
        <v>3</v>
      </c>
    </row>
    <row r="5" spans="1:9" x14ac:dyDescent="0.3">
      <c r="A5" s="1">
        <v>45974</v>
      </c>
      <c r="B5">
        <v>26</v>
      </c>
      <c r="C5">
        <v>29</v>
      </c>
      <c r="D5">
        <v>4</v>
      </c>
      <c r="E5">
        <v>0</v>
      </c>
      <c r="F5">
        <v>2</v>
      </c>
      <c r="G5">
        <v>3</v>
      </c>
      <c r="H5">
        <v>3</v>
      </c>
    </row>
    <row r="6" spans="1:9" x14ac:dyDescent="0.3">
      <c r="A6" s="1">
        <v>45975</v>
      </c>
      <c r="B6">
        <v>21</v>
      </c>
      <c r="C6">
        <v>23</v>
      </c>
      <c r="D6">
        <v>6</v>
      </c>
      <c r="E6">
        <v>0</v>
      </c>
      <c r="F6">
        <v>2</v>
      </c>
      <c r="G6">
        <v>5</v>
      </c>
      <c r="H6">
        <v>3</v>
      </c>
    </row>
    <row r="7" spans="1:9" x14ac:dyDescent="0.3">
      <c r="A7" s="1">
        <v>45976</v>
      </c>
      <c r="B7">
        <v>39</v>
      </c>
      <c r="C7">
        <v>16</v>
      </c>
      <c r="D7">
        <v>4</v>
      </c>
      <c r="E7">
        <v>0</v>
      </c>
      <c r="F7">
        <v>1</v>
      </c>
      <c r="G7">
        <v>8</v>
      </c>
      <c r="H7">
        <v>3</v>
      </c>
    </row>
    <row r="8" spans="1:9" x14ac:dyDescent="0.3">
      <c r="A8" s="1">
        <v>45977</v>
      </c>
    </row>
    <row r="9" spans="1:9" x14ac:dyDescent="0.3">
      <c r="A9" s="1">
        <v>45978</v>
      </c>
    </row>
    <row r="10" spans="1:9" x14ac:dyDescent="0.3">
      <c r="A10" s="1">
        <v>45979</v>
      </c>
    </row>
    <row r="11" spans="1:9" x14ac:dyDescent="0.3">
      <c r="A11" s="1">
        <v>45980</v>
      </c>
      <c r="B11">
        <v>27</v>
      </c>
      <c r="C11">
        <v>21</v>
      </c>
      <c r="D11">
        <v>5</v>
      </c>
      <c r="E11">
        <v>0</v>
      </c>
      <c r="F11">
        <v>1</v>
      </c>
      <c r="G11">
        <v>5</v>
      </c>
      <c r="H11">
        <v>3</v>
      </c>
    </row>
    <row r="12" spans="1:9" x14ac:dyDescent="0.3">
      <c r="A12" s="1">
        <v>45981</v>
      </c>
      <c r="B12">
        <v>23</v>
      </c>
      <c r="C12">
        <v>27</v>
      </c>
      <c r="D12">
        <v>2</v>
      </c>
      <c r="E12">
        <v>0</v>
      </c>
      <c r="F12">
        <v>1</v>
      </c>
      <c r="G12">
        <v>6</v>
      </c>
      <c r="H12">
        <v>3</v>
      </c>
    </row>
    <row r="13" spans="1:9" x14ac:dyDescent="0.3">
      <c r="A13" s="1">
        <v>45982</v>
      </c>
      <c r="B13">
        <v>22</v>
      </c>
      <c r="C13">
        <v>19</v>
      </c>
      <c r="D13">
        <v>7</v>
      </c>
      <c r="E13">
        <v>50</v>
      </c>
      <c r="F13">
        <v>2</v>
      </c>
      <c r="G13">
        <v>2</v>
      </c>
      <c r="H13">
        <v>3</v>
      </c>
    </row>
    <row r="14" spans="1:9" x14ac:dyDescent="0.3">
      <c r="A14" s="1">
        <v>45983</v>
      </c>
      <c r="B14">
        <v>8</v>
      </c>
      <c r="C14">
        <v>8</v>
      </c>
      <c r="D14">
        <v>12</v>
      </c>
      <c r="E14">
        <v>0</v>
      </c>
      <c r="F14">
        <v>3</v>
      </c>
      <c r="G14">
        <v>7</v>
      </c>
      <c r="H14">
        <v>3</v>
      </c>
    </row>
    <row r="15" spans="1:9" x14ac:dyDescent="0.3">
      <c r="A15" s="1">
        <v>45984</v>
      </c>
    </row>
    <row r="16" spans="1:9" x14ac:dyDescent="0.3">
      <c r="A16" s="1">
        <v>45985</v>
      </c>
      <c r="B16">
        <v>12</v>
      </c>
      <c r="C16">
        <v>21</v>
      </c>
      <c r="D16">
        <v>0</v>
      </c>
      <c r="E16">
        <v>0</v>
      </c>
      <c r="F16">
        <v>0</v>
      </c>
      <c r="G16">
        <v>1</v>
      </c>
      <c r="H16">
        <v>3</v>
      </c>
    </row>
    <row r="17" spans="1:8" x14ac:dyDescent="0.3">
      <c r="A17" s="1">
        <v>45986</v>
      </c>
      <c r="B17">
        <v>24</v>
      </c>
      <c r="C17">
        <v>26</v>
      </c>
      <c r="D17">
        <v>2</v>
      </c>
      <c r="E17">
        <v>0</v>
      </c>
      <c r="F17">
        <v>3</v>
      </c>
      <c r="G17">
        <v>5</v>
      </c>
      <c r="H17">
        <v>3</v>
      </c>
    </row>
    <row r="18" spans="1:8" x14ac:dyDescent="0.3">
      <c r="A18" s="1">
        <v>45987</v>
      </c>
      <c r="B18">
        <v>18</v>
      </c>
      <c r="C18">
        <v>19</v>
      </c>
      <c r="D18">
        <v>1</v>
      </c>
      <c r="E18">
        <v>0</v>
      </c>
      <c r="F18">
        <v>6</v>
      </c>
      <c r="G18">
        <v>2</v>
      </c>
      <c r="H18">
        <v>3</v>
      </c>
    </row>
    <row r="19" spans="1:8" x14ac:dyDescent="0.3">
      <c r="A19" s="1">
        <v>45988</v>
      </c>
      <c r="B19">
        <v>35</v>
      </c>
      <c r="C19">
        <v>25</v>
      </c>
      <c r="D19">
        <v>7</v>
      </c>
      <c r="E19">
        <v>0</v>
      </c>
      <c r="F19">
        <v>4</v>
      </c>
      <c r="G19">
        <v>4</v>
      </c>
      <c r="H19">
        <v>3</v>
      </c>
    </row>
    <row r="20" spans="1:8" x14ac:dyDescent="0.3">
      <c r="A20" s="1">
        <v>45989</v>
      </c>
    </row>
    <row r="21" spans="1:8" x14ac:dyDescent="0.3">
      <c r="A21" s="1">
        <v>45990</v>
      </c>
    </row>
    <row r="22" spans="1:8" x14ac:dyDescent="0.3">
      <c r="A22" s="1">
        <v>45991</v>
      </c>
      <c r="B22">
        <v>20</v>
      </c>
      <c r="C22">
        <v>18</v>
      </c>
      <c r="D22">
        <v>5</v>
      </c>
      <c r="E22">
        <v>0</v>
      </c>
      <c r="F22">
        <v>5</v>
      </c>
      <c r="G22">
        <v>5</v>
      </c>
      <c r="H22">
        <v>3</v>
      </c>
    </row>
    <row r="23" spans="1:8" x14ac:dyDescent="0.3">
      <c r="A23" s="1">
        <v>45992</v>
      </c>
      <c r="B23">
        <v>16</v>
      </c>
      <c r="C23">
        <v>17</v>
      </c>
      <c r="D23">
        <v>0</v>
      </c>
      <c r="E23">
        <v>0</v>
      </c>
      <c r="F23">
        <v>1</v>
      </c>
      <c r="G23">
        <v>9</v>
      </c>
      <c r="H23">
        <v>3</v>
      </c>
    </row>
    <row r="24" spans="1:8" x14ac:dyDescent="0.3">
      <c r="A24" s="1">
        <v>45993</v>
      </c>
      <c r="B24">
        <v>5</v>
      </c>
      <c r="C24">
        <v>5</v>
      </c>
      <c r="D24">
        <v>2</v>
      </c>
      <c r="E24">
        <v>0</v>
      </c>
      <c r="F24">
        <v>2</v>
      </c>
      <c r="G24">
        <v>4</v>
      </c>
      <c r="H24">
        <v>3</v>
      </c>
    </row>
    <row r="25" spans="1:8" x14ac:dyDescent="0.3">
      <c r="A25" s="1">
        <v>45994</v>
      </c>
    </row>
    <row r="26" spans="1:8" x14ac:dyDescent="0.3">
      <c r="A26" s="1">
        <v>45995</v>
      </c>
    </row>
    <row r="27" spans="1:8" x14ac:dyDescent="0.3">
      <c r="A27" s="1">
        <v>45996</v>
      </c>
    </row>
    <row r="28" spans="1:8" x14ac:dyDescent="0.3">
      <c r="A28" s="1">
        <v>45997</v>
      </c>
    </row>
    <row r="29" spans="1:8" x14ac:dyDescent="0.3">
      <c r="A29" s="1">
        <v>45998</v>
      </c>
    </row>
    <row r="30" spans="1:8" x14ac:dyDescent="0.3">
      <c r="A30" s="1">
        <v>45999</v>
      </c>
      <c r="B30">
        <v>26</v>
      </c>
      <c r="C30">
        <v>25</v>
      </c>
      <c r="D30">
        <v>0</v>
      </c>
      <c r="E30">
        <v>0</v>
      </c>
      <c r="F30">
        <v>2</v>
      </c>
      <c r="G30">
        <v>4</v>
      </c>
      <c r="H30">
        <v>3</v>
      </c>
    </row>
    <row r="31" spans="1:8" x14ac:dyDescent="0.3">
      <c r="A31" s="1">
        <v>46000</v>
      </c>
      <c r="B31">
        <v>20</v>
      </c>
      <c r="C31">
        <v>26</v>
      </c>
      <c r="D31">
        <v>0</v>
      </c>
      <c r="E31">
        <v>0</v>
      </c>
      <c r="F31">
        <v>0</v>
      </c>
      <c r="G31">
        <v>0</v>
      </c>
      <c r="H31">
        <v>3</v>
      </c>
    </row>
    <row r="32" spans="1:8" x14ac:dyDescent="0.3">
      <c r="A32" s="1">
        <v>46001</v>
      </c>
      <c r="B32">
        <v>23</v>
      </c>
      <c r="C32">
        <v>22</v>
      </c>
      <c r="D32">
        <v>5</v>
      </c>
      <c r="E32">
        <v>0</v>
      </c>
      <c r="F32">
        <v>0</v>
      </c>
      <c r="G32">
        <v>11</v>
      </c>
      <c r="H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8B0-3CA9-45B9-8A7B-875FC8B24CE5}">
  <dimension ref="A1:F27"/>
  <sheetViews>
    <sheetView workbookViewId="0">
      <pane xSplit="1" ySplit="1" topLeftCell="B4" activePane="bottomRight" state="frozen"/>
      <selection pane="topRight" activeCell="C1" sqref="C1"/>
      <selection pane="bottomLeft" activeCell="A2" sqref="A2"/>
      <selection pane="bottomRight" activeCell="F27" sqref="F27"/>
    </sheetView>
  </sheetViews>
  <sheetFormatPr defaultRowHeight="14.4" x14ac:dyDescent="0.3"/>
  <cols>
    <col min="1" max="1" width="10.5546875" bestFit="1" customWidth="1"/>
    <col min="3" max="3" width="10.44140625" bestFit="1" customWidth="1"/>
    <col min="5" max="5" width="20.77734375" bestFit="1" customWidth="1"/>
    <col min="6" max="6" width="9.21875" bestFit="1" customWidth="1"/>
  </cols>
  <sheetData>
    <row r="1" spans="1:6" x14ac:dyDescent="0.3">
      <c r="A1" s="2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120</v>
      </c>
    </row>
    <row r="2" spans="1:6" x14ac:dyDescent="0.3">
      <c r="A2" s="1">
        <v>45969</v>
      </c>
    </row>
    <row r="3" spans="1:6" x14ac:dyDescent="0.3">
      <c r="A3" s="1">
        <v>45970</v>
      </c>
    </row>
    <row r="4" spans="1:6" x14ac:dyDescent="0.3">
      <c r="A4" s="1">
        <v>45971</v>
      </c>
      <c r="B4">
        <v>2</v>
      </c>
      <c r="C4">
        <v>0</v>
      </c>
      <c r="D4">
        <v>1.07</v>
      </c>
      <c r="E4">
        <v>1</v>
      </c>
    </row>
    <row r="5" spans="1:6" x14ac:dyDescent="0.3">
      <c r="A5" s="1">
        <v>45972</v>
      </c>
      <c r="B5">
        <v>0</v>
      </c>
      <c r="C5">
        <v>0</v>
      </c>
      <c r="D5">
        <v>1.07</v>
      </c>
      <c r="E5">
        <v>0</v>
      </c>
    </row>
    <row r="6" spans="1:6" x14ac:dyDescent="0.3">
      <c r="A6" s="1">
        <v>45973</v>
      </c>
      <c r="B6">
        <v>8</v>
      </c>
      <c r="C6">
        <v>1</v>
      </c>
      <c r="D6">
        <v>1.07</v>
      </c>
      <c r="E6">
        <v>1</v>
      </c>
    </row>
    <row r="7" spans="1:6" x14ac:dyDescent="0.3">
      <c r="A7" s="1">
        <v>45974</v>
      </c>
      <c r="B7">
        <v>3</v>
      </c>
      <c r="C7">
        <v>0</v>
      </c>
      <c r="D7">
        <v>1.07</v>
      </c>
      <c r="E7">
        <v>1</v>
      </c>
    </row>
    <row r="8" spans="1:6" x14ac:dyDescent="0.3">
      <c r="A8" s="1">
        <v>45975</v>
      </c>
      <c r="B8">
        <v>4</v>
      </c>
      <c r="C8">
        <v>0</v>
      </c>
      <c r="D8">
        <v>1.05</v>
      </c>
      <c r="E8">
        <v>1</v>
      </c>
    </row>
    <row r="9" spans="1:6" x14ac:dyDescent="0.3">
      <c r="A9" s="1">
        <v>45978</v>
      </c>
      <c r="B9">
        <v>7</v>
      </c>
      <c r="C9">
        <v>0</v>
      </c>
      <c r="D9">
        <v>1.05</v>
      </c>
      <c r="E9">
        <v>0</v>
      </c>
    </row>
    <row r="10" spans="1:6" x14ac:dyDescent="0.3">
      <c r="A10" s="1">
        <v>45979</v>
      </c>
      <c r="B10">
        <v>6</v>
      </c>
      <c r="C10">
        <v>0</v>
      </c>
      <c r="D10">
        <v>1.05</v>
      </c>
      <c r="E10">
        <v>0</v>
      </c>
    </row>
    <row r="11" spans="1:6" x14ac:dyDescent="0.3">
      <c r="A11" s="1">
        <v>45980</v>
      </c>
      <c r="B11">
        <v>4</v>
      </c>
      <c r="C11">
        <v>0</v>
      </c>
      <c r="D11">
        <v>1.05</v>
      </c>
      <c r="E11">
        <v>0</v>
      </c>
    </row>
    <row r="12" spans="1:6" x14ac:dyDescent="0.3">
      <c r="A12" s="1">
        <v>45981</v>
      </c>
      <c r="B12">
        <v>3</v>
      </c>
      <c r="C12">
        <v>0</v>
      </c>
      <c r="D12">
        <v>1.03</v>
      </c>
      <c r="E12">
        <v>1</v>
      </c>
    </row>
    <row r="13" spans="1:6" x14ac:dyDescent="0.3">
      <c r="A13" s="1">
        <v>45982</v>
      </c>
      <c r="B13">
        <v>5</v>
      </c>
      <c r="C13">
        <v>0</v>
      </c>
      <c r="D13">
        <v>1.03</v>
      </c>
      <c r="E13">
        <v>1</v>
      </c>
    </row>
    <row r="14" spans="1:6" x14ac:dyDescent="0.3">
      <c r="A14" s="1">
        <v>45983</v>
      </c>
      <c r="B14">
        <v>1</v>
      </c>
      <c r="C14">
        <v>0</v>
      </c>
      <c r="D14">
        <v>1.03</v>
      </c>
      <c r="E14">
        <v>0</v>
      </c>
    </row>
    <row r="15" spans="1:6" x14ac:dyDescent="0.3">
      <c r="A15" s="1">
        <v>45984</v>
      </c>
      <c r="B15">
        <v>2</v>
      </c>
      <c r="C15">
        <v>0</v>
      </c>
      <c r="D15">
        <v>1.03</v>
      </c>
      <c r="E15">
        <v>0</v>
      </c>
    </row>
    <row r="16" spans="1:6" x14ac:dyDescent="0.3">
      <c r="A16" s="1">
        <v>45985</v>
      </c>
      <c r="B16">
        <v>1</v>
      </c>
      <c r="C16">
        <v>0</v>
      </c>
      <c r="D16">
        <v>1.03</v>
      </c>
      <c r="E16">
        <v>1</v>
      </c>
    </row>
    <row r="17" spans="1:5" x14ac:dyDescent="0.3">
      <c r="A17" s="1">
        <v>45986</v>
      </c>
      <c r="B17">
        <v>3</v>
      </c>
      <c r="C17">
        <v>0</v>
      </c>
      <c r="D17">
        <v>1.03</v>
      </c>
      <c r="E17">
        <v>0</v>
      </c>
    </row>
    <row r="18" spans="1:5" x14ac:dyDescent="0.3">
      <c r="A18" s="1">
        <v>45987</v>
      </c>
      <c r="B18">
        <v>3</v>
      </c>
      <c r="C18">
        <v>0</v>
      </c>
      <c r="D18">
        <v>1.03</v>
      </c>
      <c r="E18">
        <v>1</v>
      </c>
    </row>
    <row r="19" spans="1:5" x14ac:dyDescent="0.3">
      <c r="A19" s="1">
        <v>45989</v>
      </c>
      <c r="B19">
        <v>2</v>
      </c>
      <c r="C19">
        <v>0</v>
      </c>
      <c r="D19">
        <v>1</v>
      </c>
      <c r="E19">
        <v>0</v>
      </c>
    </row>
    <row r="20" spans="1:5" x14ac:dyDescent="0.3">
      <c r="A20" s="1">
        <v>45992</v>
      </c>
      <c r="B20">
        <v>2</v>
      </c>
      <c r="C20">
        <v>0</v>
      </c>
      <c r="D20">
        <v>1</v>
      </c>
      <c r="E20">
        <v>0</v>
      </c>
    </row>
    <row r="21" spans="1:5" x14ac:dyDescent="0.3">
      <c r="A21" s="1">
        <v>45993</v>
      </c>
      <c r="B21">
        <v>5</v>
      </c>
      <c r="C21">
        <v>0</v>
      </c>
      <c r="D21">
        <v>1</v>
      </c>
      <c r="E21">
        <v>0</v>
      </c>
    </row>
    <row r="22" spans="1:5" x14ac:dyDescent="0.3">
      <c r="A22" s="1">
        <v>45994</v>
      </c>
      <c r="B22">
        <v>5</v>
      </c>
      <c r="C22">
        <v>0</v>
      </c>
      <c r="D22">
        <v>1</v>
      </c>
      <c r="E22">
        <v>0</v>
      </c>
    </row>
    <row r="23" spans="1:5" x14ac:dyDescent="0.3">
      <c r="A23" s="1">
        <v>45995</v>
      </c>
      <c r="B23">
        <v>2</v>
      </c>
      <c r="C23">
        <v>0</v>
      </c>
      <c r="D23">
        <v>1</v>
      </c>
      <c r="E23">
        <v>0</v>
      </c>
    </row>
    <row r="24" spans="1:5" x14ac:dyDescent="0.3">
      <c r="A24" s="1">
        <v>45996</v>
      </c>
      <c r="B24">
        <v>2</v>
      </c>
      <c r="C24">
        <v>0</v>
      </c>
      <c r="D24">
        <v>1</v>
      </c>
      <c r="E24">
        <v>1</v>
      </c>
    </row>
    <row r="25" spans="1:5" x14ac:dyDescent="0.3">
      <c r="A25" s="1">
        <v>45999</v>
      </c>
      <c r="B25">
        <v>4</v>
      </c>
      <c r="C25">
        <v>0</v>
      </c>
      <c r="D25">
        <v>0.98</v>
      </c>
      <c r="E25">
        <v>0</v>
      </c>
    </row>
    <row r="26" spans="1:5" x14ac:dyDescent="0.3">
      <c r="A26" s="1">
        <v>46000</v>
      </c>
      <c r="B26">
        <v>3</v>
      </c>
      <c r="C26">
        <v>0</v>
      </c>
      <c r="D26">
        <v>0.98</v>
      </c>
      <c r="E26">
        <v>3</v>
      </c>
    </row>
    <row r="27" spans="1:5" x14ac:dyDescent="0.3">
      <c r="A27" s="1">
        <v>46001</v>
      </c>
      <c r="B27">
        <v>3</v>
      </c>
      <c r="C27">
        <v>1</v>
      </c>
      <c r="D27">
        <v>0.98</v>
      </c>
      <c r="E2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9E82-52B1-426B-A6DC-7EEF67E232FB}">
  <dimension ref="A1:T20"/>
  <sheetViews>
    <sheetView workbookViewId="0">
      <pane xSplit="1" ySplit="1" topLeftCell="F2" activePane="bottomRight" state="frozen"/>
      <selection pane="topRight" activeCell="C1" sqref="C1"/>
      <selection pane="bottomLeft" activeCell="A2" sqref="A2"/>
      <selection pane="bottomRight" activeCell="S20" sqref="S20"/>
    </sheetView>
  </sheetViews>
  <sheetFormatPr defaultRowHeight="14.4" x14ac:dyDescent="0.3"/>
  <cols>
    <col min="1" max="1" width="10.5546875" style="1" bestFit="1" customWidth="1"/>
    <col min="2" max="2" width="15.109375" style="7" bestFit="1" customWidth="1"/>
    <col min="3" max="3" width="16.77734375" style="7" bestFit="1" customWidth="1"/>
    <col min="11" max="11" width="14" bestFit="1" customWidth="1"/>
    <col min="12" max="12" width="15" style="7" bestFit="1" customWidth="1"/>
    <col min="13" max="13" width="20.5546875" style="7" bestFit="1" customWidth="1"/>
    <col min="14" max="14" width="19.109375" bestFit="1" customWidth="1"/>
    <col min="15" max="15" width="20.77734375" bestFit="1" customWidth="1"/>
    <col min="16" max="16" width="13.33203125" bestFit="1" customWidth="1"/>
    <col min="17" max="17" width="16.109375" bestFit="1" customWidth="1"/>
    <col min="18" max="18" width="16.21875" bestFit="1" customWidth="1"/>
    <col min="19" max="19" width="13.44140625" style="7" bestFit="1" customWidth="1"/>
    <col min="20" max="20" width="9.21875" bestFit="1" customWidth="1"/>
  </cols>
  <sheetData>
    <row r="1" spans="1:20" x14ac:dyDescent="0.3">
      <c r="A1" s="3" t="s">
        <v>0</v>
      </c>
      <c r="B1" s="6" t="s">
        <v>39</v>
      </c>
      <c r="C1" s="6" t="s">
        <v>40</v>
      </c>
      <c r="D1" s="2" t="s">
        <v>41</v>
      </c>
      <c r="E1" s="2" t="s">
        <v>121</v>
      </c>
      <c r="F1" s="2" t="s">
        <v>42</v>
      </c>
      <c r="G1" s="2" t="s">
        <v>43</v>
      </c>
      <c r="H1" s="2" t="s">
        <v>118</v>
      </c>
      <c r="I1" s="2" t="s">
        <v>44</v>
      </c>
      <c r="J1" s="2" t="s">
        <v>45</v>
      </c>
      <c r="K1" s="2" t="s">
        <v>46</v>
      </c>
      <c r="L1" s="6" t="s">
        <v>47</v>
      </c>
      <c r="M1" s="6" t="s">
        <v>68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6" t="s">
        <v>53</v>
      </c>
      <c r="T1" s="2" t="s">
        <v>120</v>
      </c>
    </row>
    <row r="2" spans="1:20" x14ac:dyDescent="0.3">
      <c r="A2" s="1">
        <v>45964</v>
      </c>
      <c r="B2" s="7">
        <v>0.16</v>
      </c>
      <c r="C2" s="7">
        <v>0.12</v>
      </c>
      <c r="D2">
        <v>0.2</v>
      </c>
      <c r="E2">
        <v>0.26</v>
      </c>
      <c r="G2">
        <v>0.24</v>
      </c>
      <c r="J2">
        <v>0.23</v>
      </c>
      <c r="L2" s="7">
        <v>1.03</v>
      </c>
      <c r="M2" s="7">
        <v>0.34</v>
      </c>
    </row>
    <row r="3" spans="1:20" x14ac:dyDescent="0.3">
      <c r="A3" s="1">
        <v>45965</v>
      </c>
      <c r="B3" s="7">
        <v>0.2</v>
      </c>
      <c r="C3" s="7">
        <v>0.16</v>
      </c>
      <c r="D3">
        <v>0.2</v>
      </c>
      <c r="E3">
        <v>0.25</v>
      </c>
      <c r="G3">
        <v>0.24</v>
      </c>
      <c r="J3">
        <v>0.26</v>
      </c>
      <c r="L3" s="7">
        <v>1.03</v>
      </c>
      <c r="M3" s="7">
        <v>0.34</v>
      </c>
    </row>
    <row r="4" spans="1:20" x14ac:dyDescent="0.3">
      <c r="A4" s="1">
        <v>45966</v>
      </c>
      <c r="B4" s="7">
        <v>0.17</v>
      </c>
      <c r="C4" s="7">
        <v>0.11</v>
      </c>
      <c r="D4">
        <v>0.19</v>
      </c>
      <c r="E4">
        <v>0.26</v>
      </c>
      <c r="G4">
        <v>0.21</v>
      </c>
      <c r="J4">
        <v>0.25</v>
      </c>
      <c r="L4" s="7">
        <v>1.3</v>
      </c>
      <c r="M4" s="7">
        <v>0.34</v>
      </c>
    </row>
    <row r="5" spans="1:20" x14ac:dyDescent="0.3">
      <c r="A5" s="1">
        <v>45967</v>
      </c>
      <c r="B5" s="7">
        <v>0.27</v>
      </c>
      <c r="C5" s="7">
        <v>0.21</v>
      </c>
      <c r="D5">
        <v>0.1</v>
      </c>
      <c r="E5">
        <v>0.24</v>
      </c>
      <c r="G5">
        <v>0.24</v>
      </c>
      <c r="J5">
        <v>0.27</v>
      </c>
      <c r="L5" s="7">
        <v>1.03</v>
      </c>
      <c r="M5" s="7">
        <v>0.34</v>
      </c>
    </row>
    <row r="6" spans="1:20" x14ac:dyDescent="0.3">
      <c r="A6" s="1">
        <v>45968</v>
      </c>
      <c r="B6" s="7">
        <v>0.16</v>
      </c>
      <c r="C6" s="7">
        <v>0.13</v>
      </c>
      <c r="D6">
        <v>0.19</v>
      </c>
      <c r="E6">
        <v>0.24</v>
      </c>
      <c r="G6">
        <v>0.15</v>
      </c>
      <c r="J6">
        <v>0.24</v>
      </c>
      <c r="L6" s="7">
        <v>1.03</v>
      </c>
      <c r="M6" s="7">
        <v>0.34</v>
      </c>
    </row>
    <row r="7" spans="1:20" x14ac:dyDescent="0.3">
      <c r="A7" s="1">
        <v>45970</v>
      </c>
      <c r="B7" s="7">
        <v>0.16</v>
      </c>
      <c r="C7" s="7">
        <v>7.0000000000000007E-2</v>
      </c>
      <c r="D7">
        <v>0.25</v>
      </c>
      <c r="E7">
        <v>0.27</v>
      </c>
      <c r="G7">
        <v>0.31</v>
      </c>
      <c r="J7">
        <v>0.31</v>
      </c>
      <c r="L7" s="7">
        <v>1.03</v>
      </c>
      <c r="M7" s="7">
        <v>0.34</v>
      </c>
    </row>
    <row r="8" spans="1:20" x14ac:dyDescent="0.3">
      <c r="A8" s="1">
        <v>45971</v>
      </c>
      <c r="B8" s="7">
        <v>0.16</v>
      </c>
      <c r="C8" s="7">
        <v>0.12</v>
      </c>
      <c r="D8">
        <v>0.17</v>
      </c>
      <c r="E8">
        <v>0.24</v>
      </c>
      <c r="G8">
        <v>0.17</v>
      </c>
      <c r="J8">
        <v>0.28999999999999998</v>
      </c>
      <c r="L8" s="7">
        <v>1.03</v>
      </c>
      <c r="M8" s="7">
        <v>0.34</v>
      </c>
    </row>
    <row r="9" spans="1:20" x14ac:dyDescent="0.3">
      <c r="A9" s="1">
        <v>45972</v>
      </c>
      <c r="B9" s="7">
        <v>0.2</v>
      </c>
      <c r="C9" s="7">
        <v>0.13</v>
      </c>
      <c r="D9">
        <v>0.19</v>
      </c>
      <c r="E9">
        <v>0.26</v>
      </c>
      <c r="G9">
        <v>0.18</v>
      </c>
      <c r="J9">
        <v>0.28999999999999998</v>
      </c>
      <c r="L9" s="7">
        <v>1.03</v>
      </c>
      <c r="M9" s="7">
        <v>0.34</v>
      </c>
    </row>
    <row r="10" spans="1:20" x14ac:dyDescent="0.3">
      <c r="A10" s="1">
        <v>45973</v>
      </c>
      <c r="B10" s="7">
        <v>0.19</v>
      </c>
      <c r="C10" s="7">
        <v>0.11</v>
      </c>
      <c r="D10">
        <v>0.18</v>
      </c>
      <c r="E10">
        <v>0.25</v>
      </c>
      <c r="G10">
        <v>0.16</v>
      </c>
      <c r="J10">
        <v>0.28999999999999998</v>
      </c>
      <c r="L10" s="7">
        <v>1.03</v>
      </c>
      <c r="M10" s="7">
        <v>0.34</v>
      </c>
      <c r="N10">
        <v>174</v>
      </c>
      <c r="Q10">
        <v>159797</v>
      </c>
    </row>
    <row r="11" spans="1:20" x14ac:dyDescent="0.3">
      <c r="A11" s="1">
        <v>45979</v>
      </c>
      <c r="B11" s="7">
        <v>0.19</v>
      </c>
      <c r="C11" s="7">
        <v>0.08</v>
      </c>
      <c r="K11">
        <v>265</v>
      </c>
      <c r="M11" s="7">
        <v>0.34</v>
      </c>
      <c r="N11">
        <v>133</v>
      </c>
      <c r="Q11">
        <v>133573</v>
      </c>
    </row>
    <row r="12" spans="1:20" x14ac:dyDescent="0.3">
      <c r="A12" s="1">
        <v>45980</v>
      </c>
      <c r="B12" s="7">
        <v>0.25</v>
      </c>
      <c r="C12" s="7">
        <v>0.16</v>
      </c>
      <c r="K12">
        <v>270</v>
      </c>
      <c r="M12" s="7">
        <v>0.34</v>
      </c>
      <c r="N12">
        <v>194</v>
      </c>
      <c r="Q12">
        <v>168409</v>
      </c>
    </row>
    <row r="13" spans="1:20" x14ac:dyDescent="0.3">
      <c r="A13" s="1">
        <v>45981</v>
      </c>
      <c r="B13" s="7">
        <v>0.17</v>
      </c>
      <c r="C13" s="7">
        <v>0.12</v>
      </c>
      <c r="K13">
        <v>212</v>
      </c>
      <c r="M13" s="7">
        <v>0.34</v>
      </c>
    </row>
    <row r="14" spans="1:20" x14ac:dyDescent="0.3">
      <c r="A14" s="1">
        <v>45994</v>
      </c>
      <c r="B14" s="7">
        <v>0.17</v>
      </c>
      <c r="C14" s="7">
        <v>0.11</v>
      </c>
      <c r="D14">
        <v>0.13</v>
      </c>
      <c r="E14">
        <v>0.28000000000000003</v>
      </c>
      <c r="M14" s="7">
        <v>0.34</v>
      </c>
      <c r="N14">
        <v>184</v>
      </c>
      <c r="O14">
        <v>122</v>
      </c>
      <c r="Q14">
        <v>165335</v>
      </c>
    </row>
    <row r="15" spans="1:20" x14ac:dyDescent="0.3">
      <c r="A15" s="1">
        <v>45995</v>
      </c>
      <c r="B15" s="7">
        <v>0.19</v>
      </c>
      <c r="C15" s="7">
        <v>0.12</v>
      </c>
      <c r="D15">
        <v>0.14000000000000001</v>
      </c>
      <c r="E15">
        <v>0.28999999999999998</v>
      </c>
      <c r="M15" s="7">
        <v>0.34</v>
      </c>
      <c r="N15">
        <v>175</v>
      </c>
      <c r="O15">
        <v>110</v>
      </c>
      <c r="Q15">
        <v>166148</v>
      </c>
    </row>
    <row r="16" spans="1:20" x14ac:dyDescent="0.3">
      <c r="A16" s="1">
        <v>45996</v>
      </c>
      <c r="B16" s="7">
        <v>0.18</v>
      </c>
      <c r="C16" s="7">
        <v>0.11</v>
      </c>
      <c r="D16">
        <v>0.12</v>
      </c>
      <c r="E16">
        <v>0.27</v>
      </c>
      <c r="M16" s="7">
        <v>0.34</v>
      </c>
      <c r="N16">
        <v>181</v>
      </c>
      <c r="O16">
        <v>116</v>
      </c>
      <c r="Q16">
        <v>173981</v>
      </c>
    </row>
    <row r="17" spans="1:17" x14ac:dyDescent="0.3">
      <c r="A17" s="1">
        <v>45999</v>
      </c>
      <c r="B17" s="7">
        <v>0.18</v>
      </c>
      <c r="C17" s="7">
        <v>0.12</v>
      </c>
      <c r="D17">
        <v>0.2</v>
      </c>
      <c r="E17">
        <v>0.32</v>
      </c>
      <c r="M17" s="7">
        <v>0.34</v>
      </c>
    </row>
    <row r="18" spans="1:17" x14ac:dyDescent="0.3">
      <c r="A18" s="1">
        <v>45999</v>
      </c>
      <c r="B18" s="7">
        <v>0.18</v>
      </c>
      <c r="C18" s="7">
        <v>0.12</v>
      </c>
      <c r="D18">
        <v>0.2</v>
      </c>
      <c r="E18">
        <v>0.32</v>
      </c>
      <c r="M18" s="7">
        <v>0.34</v>
      </c>
      <c r="N18">
        <v>180</v>
      </c>
    </row>
    <row r="19" spans="1:17" x14ac:dyDescent="0.3">
      <c r="A19" s="1">
        <v>46000</v>
      </c>
      <c r="B19" s="7">
        <v>0.16</v>
      </c>
      <c r="C19" s="7">
        <v>0.12</v>
      </c>
      <c r="D19">
        <v>0.14000000000000001</v>
      </c>
      <c r="E19">
        <v>0.26</v>
      </c>
      <c r="M19" s="7">
        <v>0.34</v>
      </c>
      <c r="N19">
        <v>203</v>
      </c>
      <c r="O19">
        <v>123</v>
      </c>
      <c r="Q19">
        <v>170822</v>
      </c>
    </row>
    <row r="20" spans="1:17" x14ac:dyDescent="0.3">
      <c r="A20" s="1">
        <v>46001</v>
      </c>
      <c r="B20" s="7">
        <v>0.13</v>
      </c>
      <c r="C20" s="7">
        <v>0.11</v>
      </c>
      <c r="D20">
        <v>0.26</v>
      </c>
      <c r="M20" s="7">
        <v>0.34</v>
      </c>
      <c r="N20">
        <v>155</v>
      </c>
      <c r="O20">
        <v>98</v>
      </c>
      <c r="Q20">
        <v>150066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BFB4-B57D-447C-A2F0-3D72EE7A6B86}">
  <dimension ref="A1:H30"/>
  <sheetViews>
    <sheetView workbookViewId="0">
      <pane xSplit="1" ySplit="1" topLeftCell="B5" activePane="bottomRight" state="frozen"/>
      <selection pane="topRight" activeCell="C1" sqref="C1"/>
      <selection pane="bottomLeft" activeCell="A2" sqref="A2"/>
      <selection pane="bottomRight" activeCell="F30" sqref="F30"/>
    </sheetView>
  </sheetViews>
  <sheetFormatPr defaultRowHeight="14.4" x14ac:dyDescent="0.3"/>
  <cols>
    <col min="1" max="1" width="10.5546875" bestFit="1" customWidth="1"/>
    <col min="2" max="2" width="17.88671875" bestFit="1" customWidth="1"/>
    <col min="3" max="3" width="23.88671875" bestFit="1" customWidth="1"/>
    <col min="4" max="4" width="16.77734375" bestFit="1" customWidth="1"/>
    <col min="5" max="5" width="12.33203125" bestFit="1" customWidth="1"/>
    <col min="6" max="6" width="20.21875" bestFit="1" customWidth="1"/>
    <col min="7" max="7" width="17.88671875" bestFit="1" customWidth="1"/>
    <col min="8" max="8" width="19.44140625" bestFit="1" customWidth="1"/>
  </cols>
  <sheetData>
    <row r="1" spans="1:8" x14ac:dyDescent="0.3">
      <c r="A1" s="2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 spans="1:8" x14ac:dyDescent="0.3">
      <c r="A2" s="1">
        <v>45971</v>
      </c>
    </row>
    <row r="3" spans="1:8" x14ac:dyDescent="0.3">
      <c r="A3" s="1">
        <v>45972</v>
      </c>
    </row>
    <row r="4" spans="1:8" x14ac:dyDescent="0.3">
      <c r="A4" s="1">
        <v>45973</v>
      </c>
    </row>
    <row r="5" spans="1:8" x14ac:dyDescent="0.3">
      <c r="A5" s="1">
        <v>45971</v>
      </c>
      <c r="C5">
        <v>33</v>
      </c>
      <c r="F5">
        <v>177</v>
      </c>
    </row>
    <row r="6" spans="1:8" x14ac:dyDescent="0.3">
      <c r="A6" s="1">
        <v>45972</v>
      </c>
      <c r="B6">
        <v>0</v>
      </c>
      <c r="D6">
        <v>2</v>
      </c>
      <c r="E6">
        <v>0</v>
      </c>
      <c r="F6">
        <v>178</v>
      </c>
    </row>
    <row r="7" spans="1:8" x14ac:dyDescent="0.3">
      <c r="A7" s="1">
        <v>45973</v>
      </c>
      <c r="B7">
        <v>0</v>
      </c>
      <c r="E7">
        <v>0</v>
      </c>
      <c r="F7">
        <v>179</v>
      </c>
    </row>
    <row r="8" spans="1:8" x14ac:dyDescent="0.3">
      <c r="A8" s="1">
        <v>45974</v>
      </c>
      <c r="B8">
        <v>0</v>
      </c>
      <c r="F8">
        <v>180</v>
      </c>
    </row>
    <row r="9" spans="1:8" x14ac:dyDescent="0.3">
      <c r="A9" s="1">
        <v>45975</v>
      </c>
      <c r="B9">
        <v>0</v>
      </c>
      <c r="F9">
        <v>181</v>
      </c>
    </row>
    <row r="10" spans="1:8" x14ac:dyDescent="0.3">
      <c r="A10" s="1">
        <v>45976</v>
      </c>
      <c r="B10">
        <v>0</v>
      </c>
      <c r="F10">
        <v>182</v>
      </c>
    </row>
    <row r="11" spans="1:8" x14ac:dyDescent="0.3">
      <c r="A11" s="1">
        <v>45977</v>
      </c>
      <c r="B11">
        <v>0</v>
      </c>
      <c r="F11">
        <v>183</v>
      </c>
    </row>
    <row r="12" spans="1:8" x14ac:dyDescent="0.3">
      <c r="A12" s="1">
        <v>45978</v>
      </c>
      <c r="B12">
        <v>2</v>
      </c>
      <c r="C12">
        <v>30</v>
      </c>
      <c r="D12">
        <v>0</v>
      </c>
      <c r="E12">
        <v>0</v>
      </c>
      <c r="F12">
        <v>192</v>
      </c>
      <c r="G12">
        <v>125</v>
      </c>
      <c r="H12">
        <v>70</v>
      </c>
    </row>
    <row r="13" spans="1:8" x14ac:dyDescent="0.3">
      <c r="A13" s="1">
        <v>45979</v>
      </c>
      <c r="B13">
        <v>0</v>
      </c>
      <c r="D13">
        <v>0</v>
      </c>
      <c r="F13">
        <v>193</v>
      </c>
      <c r="G13">
        <v>77</v>
      </c>
      <c r="H13">
        <v>52</v>
      </c>
    </row>
    <row r="14" spans="1:8" x14ac:dyDescent="0.3">
      <c r="A14" s="1">
        <v>45980</v>
      </c>
      <c r="B14">
        <v>0</v>
      </c>
      <c r="D14">
        <v>0</v>
      </c>
      <c r="E14">
        <v>0</v>
      </c>
      <c r="F14">
        <v>194</v>
      </c>
      <c r="G14">
        <v>102</v>
      </c>
      <c r="H14">
        <v>83</v>
      </c>
    </row>
    <row r="15" spans="1:8" x14ac:dyDescent="0.3">
      <c r="A15" s="1">
        <v>45981</v>
      </c>
      <c r="B15">
        <v>0</v>
      </c>
      <c r="D15">
        <v>0</v>
      </c>
      <c r="E15">
        <v>0</v>
      </c>
      <c r="F15">
        <v>195</v>
      </c>
      <c r="G15">
        <v>102</v>
      </c>
      <c r="H15">
        <v>83</v>
      </c>
    </row>
    <row r="16" spans="1:8" x14ac:dyDescent="0.3">
      <c r="A16" s="1">
        <v>45982</v>
      </c>
      <c r="B16">
        <v>0</v>
      </c>
      <c r="D16">
        <v>1</v>
      </c>
      <c r="F16">
        <v>196</v>
      </c>
      <c r="G16">
        <v>102</v>
      </c>
      <c r="H16">
        <v>83</v>
      </c>
    </row>
    <row r="17" spans="1:8" x14ac:dyDescent="0.3">
      <c r="A17" s="1">
        <v>45985</v>
      </c>
      <c r="B17">
        <v>0</v>
      </c>
      <c r="D17">
        <v>5</v>
      </c>
      <c r="F17">
        <v>199</v>
      </c>
      <c r="G17">
        <v>102</v>
      </c>
      <c r="H17">
        <v>83</v>
      </c>
    </row>
    <row r="18" spans="1:8" x14ac:dyDescent="0.3">
      <c r="A18" s="1">
        <v>45986</v>
      </c>
      <c r="B18">
        <v>1</v>
      </c>
      <c r="D18">
        <v>1</v>
      </c>
      <c r="F18">
        <v>200</v>
      </c>
      <c r="G18">
        <v>102</v>
      </c>
      <c r="H18">
        <v>82</v>
      </c>
    </row>
    <row r="19" spans="1:8" x14ac:dyDescent="0.3">
      <c r="A19" s="1">
        <v>45987</v>
      </c>
      <c r="B19">
        <v>4</v>
      </c>
      <c r="D19">
        <v>1</v>
      </c>
      <c r="F19">
        <v>201</v>
      </c>
      <c r="G19">
        <v>102</v>
      </c>
      <c r="H19">
        <v>82</v>
      </c>
    </row>
    <row r="20" spans="1:8" x14ac:dyDescent="0.3">
      <c r="A20" s="1">
        <v>45988</v>
      </c>
      <c r="B20">
        <v>0</v>
      </c>
      <c r="D20">
        <v>1</v>
      </c>
      <c r="F20">
        <v>202</v>
      </c>
      <c r="G20">
        <v>102</v>
      </c>
      <c r="H20">
        <v>82</v>
      </c>
    </row>
    <row r="21" spans="1:8" x14ac:dyDescent="0.3">
      <c r="A21" s="1">
        <v>45989</v>
      </c>
      <c r="F21">
        <v>203</v>
      </c>
    </row>
    <row r="22" spans="1:8" x14ac:dyDescent="0.3">
      <c r="A22" s="1">
        <v>45992</v>
      </c>
      <c r="D22">
        <v>1</v>
      </c>
      <c r="F22">
        <v>207</v>
      </c>
      <c r="G22">
        <v>102</v>
      </c>
      <c r="H22">
        <v>85</v>
      </c>
    </row>
    <row r="23" spans="1:8" x14ac:dyDescent="0.3">
      <c r="A23" s="1">
        <v>45993</v>
      </c>
      <c r="B23">
        <v>1</v>
      </c>
      <c r="D23">
        <v>1</v>
      </c>
      <c r="F23">
        <v>208</v>
      </c>
      <c r="G23">
        <v>99</v>
      </c>
      <c r="H23">
        <v>88</v>
      </c>
    </row>
    <row r="24" spans="1:8" x14ac:dyDescent="0.3">
      <c r="A24" s="1">
        <v>45994</v>
      </c>
      <c r="B24">
        <v>0</v>
      </c>
      <c r="F24">
        <v>209</v>
      </c>
      <c r="G24">
        <v>99</v>
      </c>
      <c r="H24">
        <v>89</v>
      </c>
    </row>
    <row r="25" spans="1:8" x14ac:dyDescent="0.3">
      <c r="A25" s="1">
        <v>45995</v>
      </c>
      <c r="B25">
        <v>3</v>
      </c>
      <c r="D25">
        <v>1</v>
      </c>
      <c r="F25">
        <v>210</v>
      </c>
      <c r="G25">
        <v>100</v>
      </c>
      <c r="H25">
        <v>89</v>
      </c>
    </row>
    <row r="26" spans="1:8" x14ac:dyDescent="0.3">
      <c r="A26" s="1">
        <v>45996</v>
      </c>
      <c r="B26">
        <v>1</v>
      </c>
      <c r="F26">
        <v>211</v>
      </c>
      <c r="G26">
        <v>101</v>
      </c>
      <c r="H26">
        <v>89</v>
      </c>
    </row>
    <row r="27" spans="1:8" x14ac:dyDescent="0.3">
      <c r="A27" s="1">
        <v>45999</v>
      </c>
      <c r="B27">
        <v>0</v>
      </c>
      <c r="F27">
        <v>214</v>
      </c>
      <c r="G27">
        <v>101</v>
      </c>
      <c r="H27">
        <v>89</v>
      </c>
    </row>
    <row r="28" spans="1:8" x14ac:dyDescent="0.3">
      <c r="A28" s="1">
        <v>46000</v>
      </c>
      <c r="B28">
        <v>0</v>
      </c>
      <c r="D28">
        <v>3</v>
      </c>
      <c r="F28">
        <v>215</v>
      </c>
    </row>
    <row r="29" spans="1:8" x14ac:dyDescent="0.3">
      <c r="A29" s="1">
        <v>46001</v>
      </c>
      <c r="B29">
        <v>1</v>
      </c>
      <c r="D29">
        <v>3</v>
      </c>
      <c r="F29">
        <v>216</v>
      </c>
      <c r="G29">
        <v>96</v>
      </c>
      <c r="H29">
        <v>90</v>
      </c>
    </row>
    <row r="30" spans="1:8" x14ac:dyDescent="0.3">
      <c r="A3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73CA-7458-4741-9A64-653E784C480B}">
  <dimension ref="A1:D15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G16" sqref="G16"/>
    </sheetView>
  </sheetViews>
  <sheetFormatPr defaultRowHeight="14.4" x14ac:dyDescent="0.3"/>
  <cols>
    <col min="1" max="1" width="12.44140625" customWidth="1"/>
    <col min="2" max="2" width="55" bestFit="1" customWidth="1"/>
    <col min="3" max="3" width="15.109375" bestFit="1" customWidth="1"/>
    <col min="4" max="4" width="15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119</v>
      </c>
    </row>
    <row r="2" spans="1:4" x14ac:dyDescent="0.3">
      <c r="A2" s="1">
        <v>45995</v>
      </c>
      <c r="B2" t="s">
        <v>127</v>
      </c>
      <c r="C2" s="1"/>
      <c r="D2" t="s">
        <v>128</v>
      </c>
    </row>
    <row r="3" spans="1:4" x14ac:dyDescent="0.3">
      <c r="A3" s="1">
        <v>45995</v>
      </c>
      <c r="B3" t="s">
        <v>129</v>
      </c>
      <c r="C3" s="1"/>
      <c r="D3" t="s">
        <v>67</v>
      </c>
    </row>
    <row r="4" spans="1:4" x14ac:dyDescent="0.3">
      <c r="A4" s="1">
        <v>45995</v>
      </c>
      <c r="B4" t="s">
        <v>130</v>
      </c>
      <c r="D4" t="s">
        <v>64</v>
      </c>
    </row>
    <row r="5" spans="1:4" x14ac:dyDescent="0.3">
      <c r="A5" s="1">
        <v>45995</v>
      </c>
      <c r="B5" t="s">
        <v>131</v>
      </c>
      <c r="D5" t="s">
        <v>65</v>
      </c>
    </row>
    <row r="6" spans="1:4" x14ac:dyDescent="0.3">
      <c r="A6" s="1">
        <v>45995</v>
      </c>
      <c r="B6" t="s">
        <v>132</v>
      </c>
      <c r="C6" s="1"/>
      <c r="D6" t="s">
        <v>64</v>
      </c>
    </row>
    <row r="7" spans="1:4" x14ac:dyDescent="0.3">
      <c r="A7" s="1">
        <v>45995</v>
      </c>
      <c r="B7" t="s">
        <v>133</v>
      </c>
      <c r="C7" s="1"/>
      <c r="D7" t="s">
        <v>62</v>
      </c>
    </row>
    <row r="8" spans="1:4" x14ac:dyDescent="0.3">
      <c r="A8" s="1">
        <v>45995</v>
      </c>
      <c r="B8" t="s">
        <v>134</v>
      </c>
      <c r="D8" t="s">
        <v>65</v>
      </c>
    </row>
    <row r="9" spans="1:4" x14ac:dyDescent="0.3">
      <c r="A9" s="1">
        <v>45995</v>
      </c>
      <c r="B9" t="s">
        <v>135</v>
      </c>
      <c r="D9" t="s">
        <v>66</v>
      </c>
    </row>
    <row r="10" spans="1:4" x14ac:dyDescent="0.3">
      <c r="A10" s="1">
        <v>45995</v>
      </c>
      <c r="B10" t="s">
        <v>135</v>
      </c>
      <c r="D10" t="s">
        <v>63</v>
      </c>
    </row>
    <row r="11" spans="1:4" x14ac:dyDescent="0.3">
      <c r="A11" s="1">
        <v>45995</v>
      </c>
      <c r="B11" t="s">
        <v>135</v>
      </c>
      <c r="D11" t="s">
        <v>64</v>
      </c>
    </row>
    <row r="12" spans="1:4" x14ac:dyDescent="0.3">
      <c r="A12" s="1">
        <v>45995</v>
      </c>
      <c r="B12" t="s">
        <v>135</v>
      </c>
      <c r="D12" t="s">
        <v>62</v>
      </c>
    </row>
    <row r="13" spans="1:4" x14ac:dyDescent="0.3">
      <c r="A13" s="1">
        <v>45995</v>
      </c>
      <c r="B13" t="s">
        <v>135</v>
      </c>
      <c r="D13" t="s">
        <v>65</v>
      </c>
    </row>
    <row r="14" spans="1:4" x14ac:dyDescent="0.3">
      <c r="A14" s="1">
        <v>45995</v>
      </c>
      <c r="B14" t="s">
        <v>135</v>
      </c>
      <c r="D14" t="s">
        <v>136</v>
      </c>
    </row>
    <row r="15" spans="1:4" x14ac:dyDescent="0.3">
      <c r="A15" s="1">
        <v>45995</v>
      </c>
      <c r="B15" t="s">
        <v>135</v>
      </c>
      <c r="D15" t="s">
        <v>126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 Control</vt:lpstr>
      <vt:lpstr>Production</vt:lpstr>
      <vt:lpstr>Warehouse</vt:lpstr>
      <vt:lpstr>SAP</vt:lpstr>
      <vt:lpstr>Maintenance</vt:lpstr>
      <vt:lpstr>QA</vt:lpstr>
      <vt:lpstr>Finance</vt:lpstr>
      <vt:lpstr>HR | Training</vt:lpstr>
      <vt:lpstr>Needs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Mendoza, Albert</dc:creator>
  <cp:lastModifiedBy>Mendoza, Albert</cp:lastModifiedBy>
  <dcterms:created xsi:type="dcterms:W3CDTF">2015-06-05T18:17:20Z</dcterms:created>
  <dcterms:modified xsi:type="dcterms:W3CDTF">2025-12-11T14:45:22Z</dcterms:modified>
</cp:coreProperties>
</file>