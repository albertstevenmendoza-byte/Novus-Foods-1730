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lakeviewfarms1600-my.sharepoint.com/personal/amendoza_novusfoods_com/Documents/Novus Foods 1730/data/"/>
    </mc:Choice>
  </mc:AlternateContent>
  <xr:revisionPtr revIDLastSave="208" documentId="11_F25DC773A252ABDACC104887511B6C765ADE58EC" xr6:coauthVersionLast="47" xr6:coauthVersionMax="47" xr10:uidLastSave="{621A35BD-B90C-4244-9067-E5410861C836}"/>
  <bookViews>
    <workbookView xWindow="22932" yWindow="-108" windowWidth="23256" windowHeight="12456" xr2:uid="{00000000-000D-0000-FFFF-FFFF00000000}"/>
  </bookViews>
  <sheets>
    <sheet name="Budget Category" sheetId="1" r:id="rId1"/>
    <sheet name="Funds Available" sheetId="2" r:id="rId2"/>
    <sheet name="Purchase Lo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C5" i="2" s="1"/>
  <c r="B4" i="2"/>
  <c r="C4" i="2" s="1"/>
  <c r="B3" i="2"/>
  <c r="C3" i="2" s="1"/>
  <c r="B2" i="2"/>
  <c r="C2" i="2"/>
</calcChain>
</file>

<file path=xl/sharedStrings.xml><?xml version="1.0" encoding="utf-8"?>
<sst xmlns="http://schemas.openxmlformats.org/spreadsheetml/2006/main" count="120" uniqueCount="52">
  <si>
    <t>Department</t>
  </si>
  <si>
    <t>Month</t>
  </si>
  <si>
    <t>Amount Spent</t>
  </si>
  <si>
    <t>Funds Available</t>
  </si>
  <si>
    <t>December</t>
  </si>
  <si>
    <t>Category</t>
  </si>
  <si>
    <t>Plant Supplies - Pallets</t>
  </si>
  <si>
    <t>Plant Supplies - PPE</t>
  </si>
  <si>
    <t>Plant Supplies - Misc.</t>
  </si>
  <si>
    <t>Uniforms</t>
  </si>
  <si>
    <t>Cleaning Supplies</t>
  </si>
  <si>
    <t>Treatment Plant Supplies</t>
  </si>
  <si>
    <t>Safety Supplies</t>
  </si>
  <si>
    <t>Amount Allowed</t>
  </si>
  <si>
    <t>Warehouse</t>
  </si>
  <si>
    <t>Sanitation</t>
  </si>
  <si>
    <t>QA</t>
  </si>
  <si>
    <t>Production</t>
  </si>
  <si>
    <t xml:space="preserve">Department </t>
  </si>
  <si>
    <t>Requested By</t>
  </si>
  <si>
    <t>PPO#</t>
  </si>
  <si>
    <t xml:space="preserve">Cost </t>
  </si>
  <si>
    <t xml:space="preserve">Date Created </t>
  </si>
  <si>
    <t xml:space="preserve">Vendor </t>
  </si>
  <si>
    <t>Yoana</t>
  </si>
  <si>
    <t>Unisan</t>
  </si>
  <si>
    <t>Tag Chemical</t>
  </si>
  <si>
    <t>Bunzl</t>
  </si>
  <si>
    <t>Office</t>
  </si>
  <si>
    <t>Nancy</t>
  </si>
  <si>
    <t>Refridgeri</t>
  </si>
  <si>
    <t xml:space="preserve">Jessica </t>
  </si>
  <si>
    <t>Staples</t>
  </si>
  <si>
    <t>Maria</t>
  </si>
  <si>
    <t xml:space="preserve">stpales </t>
  </si>
  <si>
    <t>Nelson Jameson</t>
  </si>
  <si>
    <t>Cristian</t>
  </si>
  <si>
    <t>uline</t>
  </si>
  <si>
    <t>Mauricio</t>
  </si>
  <si>
    <t xml:space="preserve">Uline </t>
  </si>
  <si>
    <t>HR</t>
  </si>
  <si>
    <t>November</t>
  </si>
  <si>
    <t>Maintenance</t>
  </si>
  <si>
    <t>Luis Estrada</t>
  </si>
  <si>
    <t>Grainger</t>
  </si>
  <si>
    <t xml:space="preserve">Tag Chemical </t>
  </si>
  <si>
    <t>staples</t>
  </si>
  <si>
    <t xml:space="preserve"> </t>
  </si>
  <si>
    <t>Uline</t>
  </si>
  <si>
    <t>Bay City Ind. Supply</t>
  </si>
  <si>
    <t>Ideal Print Solutions</t>
  </si>
  <si>
    <t>Verne's Plumbing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</si>
</sst>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8" fontId="4" fillId="0" borderId="0" xfId="0" applyNumberFormat="1" applyFont="1"/>
    <xf numFmtId="14" fontId="4" fillId="0" borderId="0" xfId="0" applyNumberFormat="1" applyFont="1"/>
    <xf numFmtId="0" fontId="4" fillId="0" borderId="0" xfId="0" applyFont="1"/>
    <xf numFmtId="6" fontId="4" fillId="0" borderId="0" xfId="0" applyNumberFormat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3" sqref="C3"/>
    </sheetView>
  </sheetViews>
  <sheetFormatPr defaultRowHeight="14.4" x14ac:dyDescent="0.3"/>
  <cols>
    <col min="1" max="1" width="12.6640625" customWidth="1"/>
    <col min="2" max="2" width="21.44140625" bestFit="1" customWidth="1"/>
    <col min="3" max="3" width="16.5546875" style="1" bestFit="1" customWidth="1"/>
    <col min="4" max="4" width="18.44140625" customWidth="1"/>
    <col min="5" max="5" width="19" customWidth="1"/>
    <col min="6" max="6" width="13.5546875" bestFit="1" customWidth="1"/>
  </cols>
  <sheetData>
    <row r="1" spans="1:3" x14ac:dyDescent="0.3">
      <c r="A1" s="2" t="s">
        <v>1</v>
      </c>
      <c r="B1" s="2" t="s">
        <v>5</v>
      </c>
      <c r="C1" s="3" t="s">
        <v>13</v>
      </c>
    </row>
    <row r="2" spans="1:3" x14ac:dyDescent="0.3">
      <c r="A2" t="s">
        <v>4</v>
      </c>
      <c r="B2" t="s">
        <v>6</v>
      </c>
      <c r="C2" s="1">
        <v>57121</v>
      </c>
    </row>
    <row r="3" spans="1:3" x14ac:dyDescent="0.3">
      <c r="A3" t="s">
        <v>4</v>
      </c>
      <c r="B3" t="s">
        <v>7</v>
      </c>
      <c r="C3" s="1">
        <v>11958</v>
      </c>
    </row>
    <row r="4" spans="1:3" x14ac:dyDescent="0.3">
      <c r="A4" t="s">
        <v>4</v>
      </c>
      <c r="B4" t="s">
        <v>8</v>
      </c>
      <c r="C4" s="1">
        <v>20000</v>
      </c>
    </row>
    <row r="5" spans="1:3" x14ac:dyDescent="0.3">
      <c r="A5" t="s">
        <v>4</v>
      </c>
      <c r="B5" t="s">
        <v>9</v>
      </c>
      <c r="C5" s="1">
        <v>11124</v>
      </c>
    </row>
    <row r="6" spans="1:3" x14ac:dyDescent="0.3">
      <c r="A6" t="s">
        <v>4</v>
      </c>
      <c r="B6" t="s">
        <v>10</v>
      </c>
      <c r="C6" s="1">
        <v>14572</v>
      </c>
    </row>
    <row r="7" spans="1:3" x14ac:dyDescent="0.3">
      <c r="A7" t="s">
        <v>4</v>
      </c>
      <c r="B7" t="s">
        <v>11</v>
      </c>
      <c r="C7" s="1">
        <v>1056</v>
      </c>
    </row>
    <row r="8" spans="1:3" x14ac:dyDescent="0.3">
      <c r="A8" t="s">
        <v>4</v>
      </c>
      <c r="B8" t="s">
        <v>12</v>
      </c>
      <c r="C8" s="1">
        <v>0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FE32-3DD2-460E-96E7-BF6809FFD4B9}">
  <dimension ref="A1:C6"/>
  <sheetViews>
    <sheetView workbookViewId="0">
      <selection activeCell="C6" sqref="C6"/>
    </sheetView>
  </sheetViews>
  <sheetFormatPr defaultRowHeight="14.4" x14ac:dyDescent="0.3"/>
  <cols>
    <col min="1" max="1" width="11.6640625" bestFit="1" customWidth="1"/>
    <col min="2" max="2" width="14.6640625" style="1" bestFit="1" customWidth="1"/>
    <col min="3" max="3" width="14.21875" style="1" bestFit="1" customWidth="1"/>
  </cols>
  <sheetData>
    <row r="1" spans="1:3" x14ac:dyDescent="0.3">
      <c r="A1" s="2" t="s">
        <v>0</v>
      </c>
      <c r="B1" s="3" t="s">
        <v>2</v>
      </c>
      <c r="C1" s="3" t="s">
        <v>3</v>
      </c>
    </row>
    <row r="2" spans="1:3" x14ac:dyDescent="0.3">
      <c r="A2" t="s">
        <v>14</v>
      </c>
      <c r="B2" s="1">
        <f>SUMIFS('Purchase Log'!$E:$E, 'Purchase Log'!$A:$A, "December", 'Purchase Log'!$B:$B, "Warehouse")</f>
        <v>0</v>
      </c>
      <c r="C2" s="1">
        <f>'Budget Category'!C2</f>
        <v>57121</v>
      </c>
    </row>
    <row r="3" spans="1:3" x14ac:dyDescent="0.3">
      <c r="A3" t="s">
        <v>15</v>
      </c>
      <c r="B3" s="1">
        <f>SUMIFS('Purchase Log'!$E:$E, 'Purchase Log'!$A:$A, "December", 'Purchase Log'!$B:$B, "Sanitation")</f>
        <v>15766.05</v>
      </c>
      <c r="C3" s="1">
        <f>SUM('Budget Category'!C3:C8)/3-B3</f>
        <v>3803.9500000000007</v>
      </c>
    </row>
    <row r="4" spans="1:3" x14ac:dyDescent="0.3">
      <c r="A4" t="s">
        <v>16</v>
      </c>
      <c r="B4" s="1">
        <f>SUMIFS('Purchase Log'!$E:$E, 'Purchase Log'!$A:$A, "December", 'Purchase Log'!$B:$B, "QA")</f>
        <v>224.56</v>
      </c>
      <c r="C4" s="1">
        <f>SUM('Budget Category'!C3:C8)/3-B4</f>
        <v>19345.439999999999</v>
      </c>
    </row>
    <row r="5" spans="1:3" x14ac:dyDescent="0.3">
      <c r="A5" t="s">
        <v>17</v>
      </c>
      <c r="B5" s="1">
        <f>SUMIFS('Purchase Log'!$E:$E, 'Purchase Log'!$A:$A, "December", 'Purchase Log'!$B:$B, "Production")</f>
        <v>794.75</v>
      </c>
      <c r="C5" s="1">
        <f>SUM('Budget Category'!C3:C8)/3-B5</f>
        <v>18775.25</v>
      </c>
    </row>
    <row r="6" spans="1:3" x14ac:dyDescent="0.3">
      <c r="A6" t="s">
        <v>42</v>
      </c>
      <c r="B6" s="1">
        <f>SUMIFS('Purchase Log'!$E:$E, 'Purchase Log'!$A:$A, "December", 'Purchase Log'!$B:$B, "Maintenance")</f>
        <v>13940.189999999999</v>
      </c>
      <c r="C6" s="1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F902-335E-4833-A988-4717115AD44D}">
  <dimension ref="A1:G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3" sqref="I13"/>
    </sheetView>
  </sheetViews>
  <sheetFormatPr defaultRowHeight="14.4" x14ac:dyDescent="0.3"/>
  <cols>
    <col min="1" max="1" width="9.5546875" bestFit="1" customWidth="1"/>
    <col min="2" max="2" width="11.44140625" bestFit="1" customWidth="1"/>
    <col min="3" max="3" width="12.21875" bestFit="1" customWidth="1"/>
    <col min="4" max="4" width="11" bestFit="1" customWidth="1"/>
    <col min="5" max="5" width="10.6640625" bestFit="1" customWidth="1"/>
    <col min="6" max="6" width="12.21875" bestFit="1" customWidth="1"/>
    <col min="7" max="7" width="16.77734375" bestFit="1" customWidth="1"/>
  </cols>
  <sheetData>
    <row r="1" spans="1:7" x14ac:dyDescent="0.3">
      <c r="A1" s="2" t="s">
        <v>1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 x14ac:dyDescent="0.3">
      <c r="A2" t="s">
        <v>41</v>
      </c>
      <c r="B2" s="5" t="s">
        <v>15</v>
      </c>
      <c r="C2" s="5" t="s">
        <v>24</v>
      </c>
      <c r="D2" s="5">
        <v>1000003209</v>
      </c>
      <c r="E2" s="6">
        <v>1195.58</v>
      </c>
      <c r="F2" s="7">
        <v>45964</v>
      </c>
      <c r="G2" s="5" t="s">
        <v>25</v>
      </c>
    </row>
    <row r="3" spans="1:7" x14ac:dyDescent="0.3">
      <c r="A3" t="s">
        <v>41</v>
      </c>
      <c r="B3" s="5" t="s">
        <v>15</v>
      </c>
      <c r="C3" s="5" t="s">
        <v>24</v>
      </c>
      <c r="D3" s="5">
        <v>1000003208</v>
      </c>
      <c r="E3" s="6">
        <v>6432.58</v>
      </c>
      <c r="F3" s="7">
        <v>45964</v>
      </c>
      <c r="G3" s="5" t="s">
        <v>26</v>
      </c>
    </row>
    <row r="4" spans="1:7" x14ac:dyDescent="0.3">
      <c r="A4" t="s">
        <v>41</v>
      </c>
      <c r="B4" s="5" t="s">
        <v>15</v>
      </c>
      <c r="C4" s="5" t="s">
        <v>24</v>
      </c>
      <c r="D4" s="5">
        <v>1000003205</v>
      </c>
      <c r="E4" s="6">
        <v>6532.39</v>
      </c>
      <c r="F4" s="7">
        <v>45964</v>
      </c>
      <c r="G4" s="5" t="s">
        <v>27</v>
      </c>
    </row>
    <row r="5" spans="1:7" x14ac:dyDescent="0.3">
      <c r="A5" t="s">
        <v>41</v>
      </c>
      <c r="B5" s="5" t="s">
        <v>28</v>
      </c>
      <c r="C5" s="5" t="s">
        <v>29</v>
      </c>
      <c r="D5" s="5">
        <v>1000003703</v>
      </c>
      <c r="E5" s="6">
        <v>1295.8</v>
      </c>
      <c r="F5" s="7">
        <v>45971</v>
      </c>
      <c r="G5" s="5" t="s">
        <v>30</v>
      </c>
    </row>
    <row r="6" spans="1:7" x14ac:dyDescent="0.3">
      <c r="A6" t="s">
        <v>41</v>
      </c>
      <c r="B6" s="5" t="s">
        <v>28</v>
      </c>
      <c r="C6" s="5" t="s">
        <v>31</v>
      </c>
      <c r="D6" s="5">
        <v>100003842</v>
      </c>
      <c r="E6" s="9">
        <v>1641</v>
      </c>
      <c r="F6" s="7">
        <v>45973</v>
      </c>
      <c r="G6" s="5" t="s">
        <v>32</v>
      </c>
    </row>
    <row r="7" spans="1:7" x14ac:dyDescent="0.3">
      <c r="A7" t="s">
        <v>41</v>
      </c>
      <c r="B7" s="5" t="s">
        <v>16</v>
      </c>
      <c r="C7" s="5" t="s">
        <v>33</v>
      </c>
      <c r="D7" s="5">
        <v>1000003894</v>
      </c>
      <c r="E7" s="6">
        <v>210.4</v>
      </c>
      <c r="F7" s="7">
        <v>45974</v>
      </c>
      <c r="G7" s="5" t="s">
        <v>34</v>
      </c>
    </row>
    <row r="8" spans="1:7" x14ac:dyDescent="0.3">
      <c r="A8" t="s">
        <v>41</v>
      </c>
      <c r="B8" s="5" t="s">
        <v>16</v>
      </c>
      <c r="C8" s="5" t="s">
        <v>33</v>
      </c>
      <c r="D8" s="5">
        <v>1000003896</v>
      </c>
      <c r="E8" s="6">
        <v>337.44</v>
      </c>
      <c r="F8" s="7">
        <v>45974</v>
      </c>
      <c r="G8" s="5" t="s">
        <v>35</v>
      </c>
    </row>
    <row r="9" spans="1:7" x14ac:dyDescent="0.3">
      <c r="A9" t="s">
        <v>41</v>
      </c>
      <c r="B9" s="5" t="s">
        <v>16</v>
      </c>
      <c r="C9" s="5" t="s">
        <v>36</v>
      </c>
      <c r="D9" s="5">
        <v>1000004472</v>
      </c>
      <c r="E9" s="6">
        <v>1262.3</v>
      </c>
      <c r="F9" s="7">
        <v>45985</v>
      </c>
      <c r="G9" s="5" t="s">
        <v>37</v>
      </c>
    </row>
    <row r="10" spans="1:7" x14ac:dyDescent="0.3">
      <c r="A10" t="s">
        <v>41</v>
      </c>
      <c r="B10" s="5" t="s">
        <v>17</v>
      </c>
      <c r="C10" s="5" t="s">
        <v>38</v>
      </c>
      <c r="D10" s="5">
        <v>1000004494</v>
      </c>
      <c r="E10" s="8"/>
      <c r="F10" s="7">
        <v>45984</v>
      </c>
      <c r="G10" s="5" t="s">
        <v>39</v>
      </c>
    </row>
    <row r="11" spans="1:7" x14ac:dyDescent="0.3">
      <c r="A11" t="s">
        <v>41</v>
      </c>
      <c r="B11" s="5" t="s">
        <v>40</v>
      </c>
      <c r="C11" s="5" t="s">
        <v>29</v>
      </c>
      <c r="D11" s="5">
        <v>1000004493</v>
      </c>
      <c r="E11" s="8"/>
      <c r="F11" s="7">
        <v>45984</v>
      </c>
      <c r="G11" s="5" t="s">
        <v>39</v>
      </c>
    </row>
    <row r="12" spans="1:7" x14ac:dyDescent="0.3">
      <c r="A12" t="s">
        <v>4</v>
      </c>
      <c r="B12" s="5" t="s">
        <v>17</v>
      </c>
      <c r="C12" s="5" t="s">
        <v>38</v>
      </c>
      <c r="D12" s="5">
        <v>1000004747</v>
      </c>
      <c r="E12" s="6">
        <v>251</v>
      </c>
      <c r="F12" s="7">
        <v>45992</v>
      </c>
      <c r="G12" s="5" t="s">
        <v>44</v>
      </c>
    </row>
    <row r="13" spans="1:7" x14ac:dyDescent="0.3">
      <c r="A13" t="s">
        <v>4</v>
      </c>
      <c r="B13" s="5" t="s">
        <v>16</v>
      </c>
      <c r="C13" s="5" t="s">
        <v>33</v>
      </c>
      <c r="D13" s="5">
        <v>1000004749</v>
      </c>
      <c r="E13" s="6">
        <v>224.56</v>
      </c>
      <c r="F13" s="7">
        <v>45992</v>
      </c>
      <c r="G13" s="5" t="s">
        <v>32</v>
      </c>
    </row>
    <row r="14" spans="1:7" x14ac:dyDescent="0.3">
      <c r="A14" t="s">
        <v>4</v>
      </c>
      <c r="B14" s="5" t="s">
        <v>15</v>
      </c>
      <c r="C14" s="5" t="s">
        <v>24</v>
      </c>
      <c r="D14" s="5">
        <v>1000004759</v>
      </c>
      <c r="E14" s="6">
        <v>6170.1</v>
      </c>
      <c r="F14" s="7">
        <v>45992</v>
      </c>
      <c r="G14" s="5" t="s">
        <v>45</v>
      </c>
    </row>
    <row r="15" spans="1:7" x14ac:dyDescent="0.3">
      <c r="A15" t="s">
        <v>4</v>
      </c>
      <c r="B15" s="5" t="s">
        <v>15</v>
      </c>
      <c r="C15" s="5" t="s">
        <v>24</v>
      </c>
      <c r="D15" s="5">
        <v>1000004826</v>
      </c>
      <c r="E15" s="6">
        <v>4165.88</v>
      </c>
      <c r="F15" s="7">
        <v>45993</v>
      </c>
      <c r="G15" s="5" t="s">
        <v>25</v>
      </c>
    </row>
    <row r="16" spans="1:7" x14ac:dyDescent="0.3">
      <c r="A16" t="s">
        <v>4</v>
      </c>
      <c r="B16" s="5" t="s">
        <v>15</v>
      </c>
      <c r="C16" s="5" t="s">
        <v>24</v>
      </c>
      <c r="D16" s="5">
        <v>1000004835</v>
      </c>
      <c r="E16" s="6">
        <v>5430.07</v>
      </c>
      <c r="F16" s="7">
        <v>45993</v>
      </c>
      <c r="G16" s="5" t="s">
        <v>27</v>
      </c>
    </row>
    <row r="17" spans="1:7" x14ac:dyDescent="0.3">
      <c r="A17" t="s">
        <v>4</v>
      </c>
      <c r="B17" s="5" t="s">
        <v>42</v>
      </c>
      <c r="C17" s="5" t="s">
        <v>38</v>
      </c>
      <c r="D17" s="5">
        <v>1000004850</v>
      </c>
      <c r="E17" s="6">
        <v>2707.88</v>
      </c>
      <c r="F17" s="7">
        <v>45993</v>
      </c>
      <c r="G17" s="5" t="s">
        <v>37</v>
      </c>
    </row>
    <row r="18" spans="1:7" x14ac:dyDescent="0.3">
      <c r="A18" t="s">
        <v>4</v>
      </c>
      <c r="B18" s="5" t="s">
        <v>28</v>
      </c>
      <c r="C18" s="5" t="s">
        <v>31</v>
      </c>
      <c r="D18" s="5">
        <v>1000004943</v>
      </c>
      <c r="E18" s="6">
        <v>1607.08</v>
      </c>
      <c r="F18" s="7">
        <v>45994</v>
      </c>
      <c r="G18" s="5" t="s">
        <v>46</v>
      </c>
    </row>
    <row r="19" spans="1:7" x14ac:dyDescent="0.3">
      <c r="A19" t="s">
        <v>4</v>
      </c>
      <c r="B19" s="5" t="s">
        <v>17</v>
      </c>
      <c r="C19" s="5" t="s">
        <v>43</v>
      </c>
      <c r="D19" s="5">
        <v>1000005196</v>
      </c>
      <c r="E19" s="6">
        <v>543.75</v>
      </c>
      <c r="F19" s="7">
        <v>45996</v>
      </c>
      <c r="G19" s="5" t="s">
        <v>47</v>
      </c>
    </row>
    <row r="20" spans="1:7" x14ac:dyDescent="0.3">
      <c r="A20" t="s">
        <v>4</v>
      </c>
      <c r="B20" s="5" t="s">
        <v>42</v>
      </c>
      <c r="C20" s="5" t="s">
        <v>38</v>
      </c>
      <c r="D20" s="5">
        <v>1000004566</v>
      </c>
      <c r="E20" s="6">
        <v>10096.35</v>
      </c>
      <c r="F20" s="10">
        <v>45993</v>
      </c>
      <c r="G20" s="5" t="s">
        <v>48</v>
      </c>
    </row>
    <row r="21" spans="1:7" x14ac:dyDescent="0.3">
      <c r="A21" t="s">
        <v>4</v>
      </c>
      <c r="B21" s="5" t="s">
        <v>42</v>
      </c>
      <c r="C21" s="5" t="s">
        <v>38</v>
      </c>
      <c r="D21" s="5">
        <v>1000004816</v>
      </c>
      <c r="E21" s="6">
        <v>244.07</v>
      </c>
      <c r="F21" s="10">
        <v>46000</v>
      </c>
      <c r="G21" s="5" t="s">
        <v>49</v>
      </c>
    </row>
    <row r="22" spans="1:7" x14ac:dyDescent="0.3">
      <c r="A22" t="s">
        <v>4</v>
      </c>
      <c r="B22" s="5" t="s">
        <v>42</v>
      </c>
      <c r="C22" s="5" t="s">
        <v>38</v>
      </c>
      <c r="D22" s="5">
        <v>1000005112</v>
      </c>
      <c r="E22" s="6">
        <v>489</v>
      </c>
      <c r="F22" s="10">
        <v>46000</v>
      </c>
      <c r="G22" s="5" t="s">
        <v>50</v>
      </c>
    </row>
    <row r="23" spans="1:7" x14ac:dyDescent="0.3">
      <c r="A23" t="s">
        <v>4</v>
      </c>
      <c r="B23" s="5" t="s">
        <v>42</v>
      </c>
      <c r="C23" s="5" t="s">
        <v>38</v>
      </c>
      <c r="D23" s="5">
        <v>1000005118</v>
      </c>
      <c r="E23" s="6">
        <v>402.89</v>
      </c>
      <c r="F23" s="10">
        <v>46000</v>
      </c>
      <c r="G23" s="5" t="s">
        <v>51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Category</vt:lpstr>
      <vt:lpstr>Funds Available</vt:lpstr>
      <vt:lpstr>Purchase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Mendoza, Albert</dc:creator>
  <cp:lastModifiedBy>Mendoza, Albert</cp:lastModifiedBy>
  <dcterms:created xsi:type="dcterms:W3CDTF">2015-06-05T18:17:20Z</dcterms:created>
  <dcterms:modified xsi:type="dcterms:W3CDTF">2025-12-11T14:34:28Z</dcterms:modified>
</cp:coreProperties>
</file>