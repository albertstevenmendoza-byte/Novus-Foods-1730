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akeviewfarms1600-my.sharepoint.com/personal/amendoza_novusfoods_com/Documents/"/>
    </mc:Choice>
  </mc:AlternateContent>
  <xr:revisionPtr revIDLastSave="417" documentId="8_{3EA5EAE1-561D-4215-9312-7BA19D2D5C61}" xr6:coauthVersionLast="47" xr6:coauthVersionMax="47" xr10:uidLastSave="{D1F42515-BD1E-42FD-A286-8D0B0CDEFFCF}"/>
  <bookViews>
    <workbookView xWindow="-108" yWindow="-108" windowWidth="23256" windowHeight="12456" xr2:uid="{00000000-000D-0000-FFFF-FFFF00000000}"/>
  </bookViews>
  <sheets>
    <sheet name="Inventory Control" sheetId="2" r:id="rId1"/>
    <sheet name="Production" sheetId="5" r:id="rId2"/>
    <sheet name="Warehouse" sheetId="3" r:id="rId3"/>
    <sheet name="SAP PSA Tracking" sheetId="11" r:id="rId4"/>
    <sheet name="SAP" sheetId="4" r:id="rId5"/>
    <sheet name="Maintenance" sheetId="6" r:id="rId6"/>
    <sheet name="QA" sheetId="7" r:id="rId7"/>
    <sheet name="Finance" sheetId="8" r:id="rId8"/>
    <sheet name="HR | Training" sheetId="9" r:id="rId9"/>
    <sheet name="Needs Action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8" i="3" l="1"/>
  <c r="K229" i="3"/>
  <c r="K20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G428" i="5"/>
  <c r="G429" i="5"/>
  <c r="G430" i="5"/>
  <c r="G431" i="5"/>
  <c r="G432" i="5"/>
  <c r="G433" i="5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K212" i="3"/>
  <c r="K213" i="3"/>
  <c r="G422" i="5"/>
  <c r="G423" i="5"/>
  <c r="G424" i="5"/>
  <c r="G425" i="5"/>
  <c r="G426" i="5"/>
  <c r="G427" i="5"/>
  <c r="K210" i="3"/>
  <c r="K209" i="3"/>
  <c r="K206" i="3"/>
  <c r="K207" i="3"/>
  <c r="G415" i="5"/>
  <c r="G416" i="5"/>
  <c r="G417" i="5"/>
  <c r="G418" i="5"/>
  <c r="G419" i="5"/>
  <c r="G420" i="5"/>
  <c r="G421" i="5"/>
  <c r="K204" i="3"/>
  <c r="K205" i="3"/>
  <c r="K200" i="3"/>
  <c r="K201" i="3"/>
  <c r="K202" i="3"/>
  <c r="K203" i="3"/>
  <c r="G404" i="5"/>
  <c r="G405" i="5"/>
  <c r="G406" i="5"/>
  <c r="G407" i="5"/>
  <c r="G408" i="5"/>
  <c r="G409" i="5"/>
  <c r="G410" i="5"/>
  <c r="G411" i="5"/>
  <c r="G412" i="5"/>
  <c r="G413" i="5"/>
  <c r="G414" i="5"/>
  <c r="G386" i="5" l="1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K199" i="3" l="1"/>
  <c r="K198" i="3"/>
  <c r="K195" i="3"/>
  <c r="K197" i="3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41" i="2"/>
  <c r="E142" i="2"/>
  <c r="E143" i="2"/>
  <c r="E144" i="2"/>
  <c r="K196" i="3"/>
  <c r="K194" i="3"/>
  <c r="K192" i="3"/>
  <c r="K193" i="3"/>
  <c r="G380" i="5"/>
  <c r="G381" i="5"/>
  <c r="G382" i="5"/>
  <c r="G383" i="5"/>
  <c r="G384" i="5"/>
  <c r="G385" i="5"/>
  <c r="K174" i="3"/>
  <c r="K172" i="3"/>
  <c r="G374" i="5"/>
  <c r="G375" i="5"/>
  <c r="G376" i="5"/>
  <c r="G377" i="5"/>
  <c r="G378" i="5"/>
  <c r="G379" i="5"/>
  <c r="K186" i="3" l="1"/>
  <c r="K188" i="3"/>
  <c r="K190" i="3"/>
  <c r="K191" i="3"/>
  <c r="K185" i="3"/>
  <c r="K184" i="3"/>
  <c r="K182" i="3"/>
  <c r="K183" i="3"/>
  <c r="G362" i="5" l="1"/>
  <c r="G363" i="5"/>
  <c r="G365" i="5"/>
  <c r="G366" i="5"/>
  <c r="G367" i="5"/>
  <c r="G368" i="5"/>
  <c r="G369" i="5"/>
  <c r="G370" i="5"/>
  <c r="G371" i="5"/>
  <c r="G372" i="5"/>
  <c r="G373" i="5"/>
  <c r="K180" i="3" l="1"/>
  <c r="K181" i="3"/>
  <c r="G356" i="5"/>
  <c r="G357" i="5"/>
  <c r="G358" i="5"/>
  <c r="G359" i="5"/>
  <c r="G361" i="5"/>
  <c r="G344" i="5"/>
  <c r="G345" i="5"/>
  <c r="G346" i="5"/>
  <c r="G347" i="5"/>
  <c r="G349" i="5"/>
  <c r="G350" i="5"/>
  <c r="G351" i="5"/>
  <c r="G352" i="5"/>
  <c r="G353" i="5"/>
  <c r="G355" i="5"/>
  <c r="K171" i="3"/>
  <c r="K178" i="3"/>
  <c r="K179" i="3"/>
  <c r="K176" i="3"/>
  <c r="K177" i="3"/>
  <c r="G338" i="5"/>
  <c r="G339" i="5"/>
  <c r="G341" i="5"/>
  <c r="G343" i="5"/>
  <c r="G332" i="5"/>
  <c r="G333" i="5"/>
  <c r="G334" i="5"/>
  <c r="G335" i="5"/>
  <c r="G337" i="5"/>
  <c r="K166" i="3"/>
  <c r="E129" i="2"/>
  <c r="E130" i="2"/>
  <c r="E131" i="2"/>
  <c r="E132" i="2"/>
  <c r="E133" i="2"/>
  <c r="E134" i="2"/>
  <c r="E135" i="2"/>
  <c r="E136" i="2"/>
  <c r="E137" i="2"/>
  <c r="E138" i="2"/>
  <c r="E139" i="2"/>
  <c r="E140" i="2"/>
  <c r="G320" i="5"/>
  <c r="G321" i="5"/>
  <c r="G322" i="5"/>
  <c r="G323" i="5"/>
  <c r="G325" i="5"/>
  <c r="G326" i="5"/>
  <c r="G327" i="5"/>
  <c r="G329" i="5"/>
  <c r="G330" i="5"/>
  <c r="G331" i="5"/>
  <c r="K164" i="3"/>
  <c r="K162" i="3"/>
  <c r="G308" i="5"/>
  <c r="G309" i="5"/>
  <c r="G310" i="5"/>
  <c r="G311" i="5"/>
  <c r="G313" i="5"/>
  <c r="G316" i="5"/>
  <c r="G317" i="5"/>
  <c r="G318" i="5"/>
  <c r="G305" i="5"/>
  <c r="G306" i="5"/>
  <c r="G307" i="5"/>
  <c r="G302" i="5"/>
  <c r="G303" i="5"/>
  <c r="G296" i="5"/>
  <c r="G297" i="5"/>
  <c r="G298" i="5"/>
  <c r="G299" i="5"/>
  <c r="G301" i="5"/>
  <c r="G290" i="5" l="1"/>
  <c r="G291" i="5"/>
  <c r="G293" i="5"/>
  <c r="G286" i="5" l="1"/>
  <c r="G289" i="5"/>
  <c r="K149" i="3" l="1"/>
  <c r="K150" i="3"/>
  <c r="K151" i="3"/>
  <c r="K152" i="3"/>
  <c r="K153" i="3"/>
  <c r="K154" i="3"/>
  <c r="K155" i="3"/>
  <c r="K156" i="3"/>
  <c r="K157" i="3"/>
  <c r="K158" i="3"/>
  <c r="K159" i="3"/>
  <c r="K160" i="3"/>
  <c r="K161" i="3"/>
  <c r="K148" i="3"/>
  <c r="G266" i="5"/>
  <c r="G268" i="5"/>
  <c r="G269" i="5"/>
  <c r="G271" i="5"/>
  <c r="G272" i="5"/>
  <c r="G275" i="5"/>
  <c r="G276" i="5"/>
  <c r="G278" i="5"/>
  <c r="G281" i="5"/>
  <c r="G282" i="5"/>
  <c r="G248" i="5" l="1"/>
  <c r="G249" i="5"/>
  <c r="G250" i="5"/>
  <c r="G251" i="5"/>
  <c r="G253" i="5"/>
  <c r="G254" i="5"/>
  <c r="G255" i="5"/>
  <c r="G257" i="5"/>
  <c r="G258" i="5"/>
  <c r="G260" i="5"/>
  <c r="G261" i="5"/>
  <c r="G262" i="5"/>
  <c r="G263" i="5"/>
  <c r="G265" i="5"/>
  <c r="G243" i="5" l="1"/>
  <c r="G244" i="5"/>
  <c r="G245" i="5"/>
  <c r="G247" i="5"/>
  <c r="G242" i="5"/>
  <c r="E102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K128" i="3"/>
  <c r="K129" i="3"/>
  <c r="K147" i="3"/>
  <c r="K145" i="3"/>
  <c r="K146" i="3"/>
  <c r="K143" i="3"/>
  <c r="K144" i="3"/>
  <c r="K141" i="3"/>
  <c r="K142" i="3"/>
  <c r="K139" i="3"/>
  <c r="K140" i="3"/>
  <c r="K137" i="3"/>
  <c r="K138" i="3"/>
  <c r="K135" i="3"/>
  <c r="K136" i="3"/>
  <c r="K133" i="3"/>
  <c r="K134" i="3"/>
  <c r="K131" i="3"/>
  <c r="K132" i="3"/>
  <c r="K127" i="3"/>
  <c r="K130" i="3"/>
  <c r="K125" i="3"/>
  <c r="K126" i="3"/>
  <c r="E95" i="2"/>
  <c r="E96" i="2"/>
  <c r="E97" i="2"/>
  <c r="E98" i="2"/>
  <c r="E99" i="2"/>
  <c r="E100" i="2"/>
  <c r="E101" i="2"/>
  <c r="G237" i="5"/>
  <c r="G238" i="5"/>
  <c r="G239" i="5"/>
  <c r="G241" i="5"/>
  <c r="G236" i="5"/>
  <c r="G230" i="5"/>
  <c r="G231" i="5"/>
  <c r="G232" i="5"/>
  <c r="G233" i="5"/>
  <c r="G234" i="5"/>
  <c r="G235" i="5"/>
  <c r="G229" i="5" l="1"/>
  <c r="G224" i="5" l="1"/>
  <c r="G225" i="5"/>
  <c r="G226" i="5"/>
  <c r="G227" i="5"/>
  <c r="G228" i="5"/>
  <c r="K123" i="3"/>
  <c r="K124" i="3"/>
  <c r="K121" i="3"/>
  <c r="K122" i="3"/>
  <c r="G218" i="5"/>
  <c r="G219" i="5"/>
  <c r="G221" i="5"/>
  <c r="G222" i="5"/>
  <c r="G223" i="5"/>
  <c r="G212" i="5" l="1"/>
  <c r="G213" i="5"/>
  <c r="G214" i="5"/>
  <c r="G215" i="5"/>
  <c r="G216" i="5"/>
  <c r="G217" i="5"/>
  <c r="K98" i="3"/>
  <c r="K99" i="3"/>
  <c r="K100" i="3"/>
  <c r="K120" i="3"/>
  <c r="K116" i="3"/>
  <c r="K117" i="3"/>
  <c r="K118" i="3"/>
  <c r="K119" i="3"/>
  <c r="K112" i="3"/>
  <c r="K113" i="3"/>
  <c r="K114" i="3"/>
  <c r="K115" i="3"/>
  <c r="K108" i="3"/>
  <c r="K109" i="3"/>
  <c r="K110" i="3"/>
  <c r="K111" i="3"/>
  <c r="K104" i="3"/>
  <c r="K105" i="3"/>
  <c r="K106" i="3"/>
  <c r="K107" i="3"/>
  <c r="K101" i="3"/>
  <c r="K102" i="3"/>
  <c r="K103" i="3"/>
  <c r="K96" i="3"/>
  <c r="K97" i="3"/>
  <c r="K94" i="3"/>
  <c r="K95" i="3"/>
  <c r="G206" i="5" l="1"/>
  <c r="G207" i="5"/>
  <c r="G209" i="5"/>
  <c r="G210" i="5"/>
  <c r="G211" i="5"/>
  <c r="G196" i="5"/>
  <c r="G176" i="5"/>
  <c r="G178" i="5"/>
  <c r="G179" i="5"/>
  <c r="G180" i="5"/>
  <c r="G182" i="5"/>
  <c r="G183" i="5"/>
  <c r="G184" i="5"/>
  <c r="G185" i="5"/>
  <c r="G187" i="5"/>
  <c r="G188" i="5"/>
  <c r="G189" i="5"/>
  <c r="G190" i="5"/>
  <c r="G191" i="5"/>
  <c r="G193" i="5"/>
  <c r="G194" i="5"/>
  <c r="G195" i="5"/>
  <c r="G197" i="5"/>
  <c r="G199" i="5"/>
  <c r="G200" i="5"/>
  <c r="G201" i="5"/>
  <c r="G203" i="5"/>
  <c r="G204" i="5"/>
  <c r="G205" i="5"/>
  <c r="G177" i="5"/>
  <c r="K93" i="3"/>
  <c r="E78" i="2" l="1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66" i="2"/>
  <c r="E67" i="2"/>
  <c r="E68" i="2"/>
  <c r="E69" i="2"/>
  <c r="E70" i="2"/>
  <c r="E71" i="2"/>
  <c r="E72" i="2"/>
  <c r="E73" i="2"/>
  <c r="E74" i="2"/>
  <c r="E75" i="2"/>
  <c r="E76" i="2"/>
  <c r="E77" i="2"/>
  <c r="G171" i="5"/>
  <c r="G172" i="5"/>
  <c r="G173" i="5"/>
  <c r="G175" i="5"/>
  <c r="G170" i="5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F153" i="5"/>
  <c r="F152" i="5"/>
  <c r="E63" i="2"/>
  <c r="E64" i="2"/>
  <c r="E65" i="2"/>
  <c r="K70" i="3" l="1"/>
  <c r="K71" i="3"/>
  <c r="K72" i="3"/>
  <c r="K73" i="3"/>
  <c r="F149" i="5"/>
  <c r="F150" i="5"/>
  <c r="F151" i="5"/>
  <c r="F148" i="5"/>
  <c r="F147" i="5"/>
  <c r="F146" i="5"/>
  <c r="E62" i="2"/>
  <c r="F141" i="5" l="1"/>
  <c r="F142" i="5"/>
  <c r="F143" i="5"/>
  <c r="F144" i="5"/>
  <c r="F145" i="5"/>
  <c r="E61" i="2"/>
  <c r="E60" i="2"/>
  <c r="F140" i="5" l="1"/>
  <c r="K68" i="3" l="1"/>
  <c r="K69" i="3"/>
  <c r="F137" i="5"/>
  <c r="F138" i="5"/>
  <c r="F139" i="5"/>
  <c r="F136" i="5"/>
  <c r="F135" i="5"/>
  <c r="E59" i="2"/>
  <c r="E58" i="2"/>
  <c r="F134" i="5"/>
  <c r="F129" i="5"/>
  <c r="F130" i="5"/>
  <c r="F131" i="5"/>
  <c r="F132" i="5"/>
  <c r="F133" i="5"/>
  <c r="F128" i="5"/>
  <c r="K66" i="3" l="1"/>
  <c r="K64" i="3"/>
  <c r="K65" i="3"/>
  <c r="K67" i="3"/>
  <c r="F122" i="5"/>
  <c r="F123" i="5"/>
  <c r="F124" i="5"/>
  <c r="F125" i="5"/>
  <c r="F126" i="5"/>
  <c r="F127" i="5"/>
  <c r="F121" i="5"/>
  <c r="F120" i="5"/>
  <c r="F119" i="5"/>
  <c r="F118" i="5"/>
  <c r="F117" i="5"/>
  <c r="F116" i="5"/>
  <c r="E57" i="2"/>
  <c r="E56" i="2"/>
  <c r="K60" i="3"/>
  <c r="K61" i="3"/>
  <c r="K62" i="3"/>
  <c r="K63" i="3"/>
  <c r="E55" i="2"/>
  <c r="E54" i="2"/>
  <c r="F104" i="5"/>
  <c r="F105" i="5"/>
  <c r="F106" i="5"/>
  <c r="F107" i="5"/>
  <c r="F108" i="5"/>
  <c r="F109" i="5"/>
  <c r="F110" i="5"/>
  <c r="F111" i="5"/>
  <c r="F112" i="5"/>
  <c r="F113" i="5"/>
  <c r="F114" i="5"/>
  <c r="F115" i="5"/>
  <c r="E51" i="2"/>
  <c r="E52" i="2"/>
  <c r="E53" i="2"/>
  <c r="E50" i="2"/>
  <c r="K43" i="3"/>
  <c r="K42" i="3"/>
  <c r="K16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8" i="3"/>
  <c r="K19" i="3"/>
  <c r="K20" i="3"/>
  <c r="K21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2" i="3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2" i="5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2" i="2"/>
</calcChain>
</file>

<file path=xl/sharedStrings.xml><?xml version="1.0" encoding="utf-8"?>
<sst xmlns="http://schemas.openxmlformats.org/spreadsheetml/2006/main" count="1937" uniqueCount="385">
  <si>
    <t>Date</t>
  </si>
  <si>
    <t>City</t>
  </si>
  <si>
    <t>Planned Cycle Counts</t>
  </si>
  <si>
    <t>Counts Completed</t>
  </si>
  <si>
    <t>Completion %</t>
  </si>
  <si>
    <t>Variants</t>
  </si>
  <si>
    <t>Bin Accuracy</t>
  </si>
  <si>
    <t>Critical Items</t>
  </si>
  <si>
    <t>Notes</t>
  </si>
  <si>
    <t>Near Miss</t>
  </si>
  <si>
    <t>Buena Park</t>
  </si>
  <si>
    <t>Spices</t>
  </si>
  <si>
    <t>Cerritos</t>
  </si>
  <si>
    <t>Raw material</t>
  </si>
  <si>
    <t>Raw matrial found a pallet of IQF Org Jalp Diced 1/4" - 3/8"</t>
  </si>
  <si>
    <t xml:space="preserve">Packaging cerritos warehouse disposals/adjustments </t>
  </si>
  <si>
    <t>Packing</t>
  </si>
  <si>
    <t>Raw material/Packing</t>
  </si>
  <si>
    <t>Finished Goods</t>
  </si>
  <si>
    <t>Raw material/Sour cream/Aceptic</t>
  </si>
  <si>
    <t>Raw materials/Finished Goods</t>
  </si>
  <si>
    <t>Raw materials and finished gooods</t>
  </si>
  <si>
    <t xml:space="preserve">fresh materials </t>
  </si>
  <si>
    <t xml:space="preserve">fresh material </t>
  </si>
  <si>
    <t xml:space="preserve">fresh material finish goods </t>
  </si>
  <si>
    <t xml:space="preserve">fresh matrial </t>
  </si>
  <si>
    <t xml:space="preserve">fresh material raw materials </t>
  </si>
  <si>
    <t>Fresh,  material, spices, freezer, and labels</t>
  </si>
  <si>
    <t xml:space="preserve">fresh material raw materials finish goods </t>
  </si>
  <si>
    <t>I</t>
  </si>
  <si>
    <t>Fresh and Raw Material counted</t>
  </si>
  <si>
    <t>Red onion (4) - expires in 6 days - 3600lbs
Red oinion (1) - expires in 4 days - 320lbs
Bell Pepper Red (1) - expires in 3 days - 800lbs
Poblano Peppers (1) - expires in 3 days - 66lbs</t>
  </si>
  <si>
    <t xml:space="preserve">Poblano peppers (1) - expires in 2 days - 66lbs
Poblano peppers (1) - expires in 5 days - 264lbs
Red bell pepper (1) - expires in 2 days - 800lbs
Chs, Cream 3309133 (1) - expires in 6 days - 1920lbs
</t>
  </si>
  <si>
    <t xml:space="preserve">Poblano peppers (1) - expires in 1 days - 66lbs
Poblano peppers (1) - expires in 4 days - 264lbs
Red bell pepper (1) - expires in 1 days - 800lbs
Chs, Cream 3309133 (1) - expires in 5 days - 1920lbs
Basil 3307518 (1) - expires in 4 days - 171lbs
</t>
  </si>
  <si>
    <t xml:space="preserve">Tom Org Fresh Roma Whole 33038356 - expires in 4 days - 200lbs
Red Bell Pepper 3307509 (3) - expires in 5 days - 1200lbs
</t>
  </si>
  <si>
    <t>Tom Org Fresh Roma Whole 33038356 - expires in 3 days - 200lbs
Red Bell Pepper 3307509 (3) - expires in 4 days - 1200lbs
Red Onion 3307710 (3) - expires in 4 days - 2700lbs</t>
  </si>
  <si>
    <t>Cycle counting labels and transfer to BP
Yellow Onion 3309019 - expired yesterday - 18000lbs</t>
  </si>
  <si>
    <t>Line</t>
  </si>
  <si>
    <t>OEE</t>
  </si>
  <si>
    <t>Expected Pounds</t>
  </si>
  <si>
    <t>Actual Pounds</t>
  </si>
  <si>
    <t>Yield</t>
  </si>
  <si>
    <t>Attainment</t>
  </si>
  <si>
    <t>Start Up</t>
  </si>
  <si>
    <t>CIL</t>
  </si>
  <si>
    <t>Downtime</t>
  </si>
  <si>
    <t>Mechanical Downtime Drivers</t>
  </si>
  <si>
    <t>Material Downtime Drivers</t>
  </si>
  <si>
    <t>2A</t>
  </si>
  <si>
    <t>Labels</t>
  </si>
  <si>
    <t>PL1</t>
  </si>
  <si>
    <t>PL2</t>
  </si>
  <si>
    <t>MP4</t>
  </si>
  <si>
    <t>PXM6</t>
  </si>
  <si>
    <t>2E</t>
  </si>
  <si>
    <t>Labels 8226</t>
  </si>
  <si>
    <t>Delkor</t>
  </si>
  <si>
    <t>MP4 Defected labels, 2E waiting on lids</t>
  </si>
  <si>
    <t>yes</t>
  </si>
  <si>
    <t>Townhall, MP4 labels, Organic on MP4</t>
  </si>
  <si>
    <t>no</t>
  </si>
  <si>
    <t>Labels, short on material</t>
  </si>
  <si>
    <t>Sour cream, labels</t>
  </si>
  <si>
    <t>No beans and no sour cream for layer lines</t>
  </si>
  <si>
    <t>CIP/sensor conveyor</t>
  </si>
  <si>
    <t>Mold 35 PXM6</t>
  </si>
  <si>
    <t>Waiting on labels, short staff</t>
  </si>
  <si>
    <t>X6smol035, trial</t>
  </si>
  <si>
    <t>2nd shift no labels, no cream cheese</t>
  </si>
  <si>
    <t>DNR</t>
  </si>
  <si>
    <t>comitrol PL1, filler 2E</t>
  </si>
  <si>
    <t>Comitrol PL1, assembling MP4</t>
  </si>
  <si>
    <t>2E sensor issues MP4 timming was off</t>
  </si>
  <si>
    <t>2E sensor issues and conveyor, MP4 cups getting stuck and lids</t>
  </si>
  <si>
    <t>2E cylinder #3, PL1 cup dispenser</t>
  </si>
  <si>
    <t>No labels for PL1 and 2E</t>
  </si>
  <si>
    <t>Mechanical issues</t>
  </si>
  <si>
    <t>Cup sealer</t>
  </si>
  <si>
    <t>Box/cups</t>
  </si>
  <si>
    <t>Sealer issues</t>
  </si>
  <si>
    <t>Filler 5 issues, heater issue</t>
  </si>
  <si>
    <t>Electrical connector</t>
  </si>
  <si>
    <t>Waiting on Salsa</t>
  </si>
  <si>
    <t>Broken chain</t>
  </si>
  <si>
    <t>FC labels, ingredient shortages</t>
  </si>
  <si>
    <t>communication chain</t>
  </si>
  <si>
    <t>No organic tomato (schedule changes)</t>
  </si>
  <si>
    <t>NO</t>
  </si>
  <si>
    <t>Thermo Couple</t>
  </si>
  <si>
    <t>last order incomplete due to material shortage</t>
  </si>
  <si>
    <t>YES</t>
  </si>
  <si>
    <t>Waiting on labels, cups</t>
  </si>
  <si>
    <t>Sealer #1</t>
  </si>
  <si>
    <t>waiting on lids</t>
  </si>
  <si>
    <t xml:space="preserve">Delkor Conveyor </t>
  </si>
  <si>
    <t>Change of schedule/ cups</t>
  </si>
  <si>
    <t>Sealer,  bypass Piston</t>
  </si>
  <si>
    <t>New Mexicana Packaging</t>
  </si>
  <si>
    <t>Filler having electrical issues, Lidder needed suction cup replacement, low temperature on heaters</t>
  </si>
  <si>
    <t>Sensor broke</t>
  </si>
  <si>
    <t>Exit conveyor broke. Bypass piston failing.</t>
  </si>
  <si>
    <t>Machine having sensor issues</t>
  </si>
  <si>
    <t>Issues with the topper</t>
  </si>
  <si>
    <t>Ink printer not working</t>
  </si>
  <si>
    <t>3 different mechanical issues with the filler</t>
  </si>
  <si>
    <t>Cheese depositor not functioning properly twice</t>
  </si>
  <si>
    <t>waiting on material</t>
  </si>
  <si>
    <t>waiting on material/video jet</t>
  </si>
  <si>
    <t>Mexicana lid</t>
  </si>
  <si>
    <t>Waiting  on ingredients</t>
  </si>
  <si>
    <t>Waiting on Guacamole</t>
  </si>
  <si>
    <t>bad lids</t>
  </si>
  <si>
    <t>waiting on salsa</t>
  </si>
  <si>
    <t>Bad lids/Extration Conveyor</t>
  </si>
  <si>
    <t>Test, waiting on components</t>
  </si>
  <si>
    <t>Machine bearings</t>
  </si>
  <si>
    <t>Plastic seal was broken (2)</t>
  </si>
  <si>
    <t>Delkor drive was faulted/ajustments for the lids</t>
  </si>
  <si>
    <t>looking for labels/Mexicana lids</t>
  </si>
  <si>
    <t>The bearing of the rollers</t>
  </si>
  <si>
    <t>waiting on organic and 32 onz cups</t>
  </si>
  <si>
    <t xml:space="preserve">Waiting on roma salsa due to not enough aceptic and also beans filler adjustments </t>
  </si>
  <si>
    <t>Fault on CIP</t>
  </si>
  <si>
    <t>Mexicana lids</t>
  </si>
  <si>
    <t>Drainer got clogged</t>
  </si>
  <si>
    <t>Case former</t>
  </si>
  <si>
    <t>breakdown for kosher/consistency on TJ</t>
  </si>
  <si>
    <t>Waiting on bck label 4408522, 4408521</t>
  </si>
  <si>
    <t>Missing labels, 60 cases short due to material shortage</t>
  </si>
  <si>
    <t>Waiting on creamy salsa</t>
  </si>
  <si>
    <t>Yes</t>
  </si>
  <si>
    <t>Date code/ Heater</t>
  </si>
  <si>
    <t xml:space="preserve">Case former </t>
  </si>
  <si>
    <t xml:space="preserve">Condensation on cups </t>
  </si>
  <si>
    <t>Labeler Rollers, Air Hose</t>
  </si>
  <si>
    <t>Missing labeels on 1st run</t>
  </si>
  <si>
    <t>Missing part for Round cup</t>
  </si>
  <si>
    <t>Missing Lids</t>
  </si>
  <si>
    <t>broken screw afecting beans filler</t>
  </si>
  <si>
    <t>Set up/Case former</t>
  </si>
  <si>
    <t>Sig Fresca Labels</t>
  </si>
  <si>
    <t>waiting for cups, lids and sour cream due to forklift driver not available</t>
  </si>
  <si>
    <t>Sensor change on the filler, Cylinder adjustment</t>
  </si>
  <si>
    <t>Rotors</t>
  </si>
  <si>
    <t>Change overs</t>
  </si>
  <si>
    <t>Change of Fuse and a cup sensor</t>
  </si>
  <si>
    <t>Label Applicator/ Delkor sensor</t>
  </si>
  <si>
    <t>cream and bean filler piston stopped working</t>
  </si>
  <si>
    <t>Video Jet(Date Code)/ Set up</t>
  </si>
  <si>
    <t>Change of Cup Sensor</t>
  </si>
  <si>
    <t>3 Dispatch were created</t>
  </si>
  <si>
    <t>Ran out of labels</t>
  </si>
  <si>
    <t>Cups not sealing properly</t>
  </si>
  <si>
    <t>Change Over</t>
  </si>
  <si>
    <t>Waiting on lids</t>
  </si>
  <si>
    <t>Beans filler 1 , cups sealing issues, valve clocged.</t>
  </si>
  <si>
    <t>Change of Schedule</t>
  </si>
  <si>
    <t xml:space="preserve">Waiting for materials, driver came late </t>
  </si>
  <si>
    <t>Heater/ Cylinder</t>
  </si>
  <si>
    <t>Set up</t>
  </si>
  <si>
    <t>Screw came loose</t>
  </si>
  <si>
    <t>Case Former/Label applicator</t>
  </si>
  <si>
    <t>Waiting on salsa</t>
  </si>
  <si>
    <t>SetUp</t>
  </si>
  <si>
    <t>Cup Filling(Operator)/Set up</t>
  </si>
  <si>
    <t>Cups beans filler issues</t>
  </si>
  <si>
    <t>Lid dropper Cylinder</t>
  </si>
  <si>
    <t>blades tape machine</t>
  </si>
  <si>
    <t xml:space="preserve">Defective Labels </t>
  </si>
  <si>
    <t>Label applicator/Broken Conveyor</t>
  </si>
  <si>
    <t xml:space="preserve">Cups issues , get damage when spinning, causing several stopages </t>
  </si>
  <si>
    <t>Labeler</t>
  </si>
  <si>
    <t>Pump</t>
  </si>
  <si>
    <t>Tape Machine, Pump, Piston, Delkor</t>
  </si>
  <si>
    <t xml:space="preserve">90 Minutes due to lock of components 119050 </t>
  </si>
  <si>
    <t>No</t>
  </si>
  <si>
    <t>Cup filling</t>
  </si>
  <si>
    <t>Bag in the Filler</t>
  </si>
  <si>
    <t>Waiting salsa</t>
  </si>
  <si>
    <t>Fault/Case Former/Delkor</t>
  </si>
  <si>
    <t>Heaters</t>
  </si>
  <si>
    <t>Pin on filler burned due damage by water on it</t>
  </si>
  <si>
    <t xml:space="preserve">Multiples wash </t>
  </si>
  <si>
    <t>equipment was released late</t>
  </si>
  <si>
    <t>Cup Dispenser</t>
  </si>
  <si>
    <t>Signature Labels, boxes, salsa</t>
  </si>
  <si>
    <t>Cheese motor not working</t>
  </si>
  <si>
    <t>No forklift driver</t>
  </si>
  <si>
    <t>Waitind for salsa</t>
  </si>
  <si>
    <t>High PH on salsa, Mexicana lids, Yellow lids</t>
  </si>
  <si>
    <t>Lid dropper, Labeler sensor</t>
  </si>
  <si>
    <t>Micro stops due to label keep braking</t>
  </si>
  <si>
    <t>Cream filler NOT pumping</t>
  </si>
  <si>
    <t>Cups and lids defected causing a lot stopages</t>
  </si>
  <si>
    <t>Heaters, Weight Variations</t>
  </si>
  <si>
    <t>Broken Hose</t>
  </si>
  <si>
    <t>Cup dispenser</t>
  </si>
  <si>
    <t>Filling sensor, Weight variation</t>
  </si>
  <si>
    <t>sealing issues</t>
  </si>
  <si>
    <t>Case Former</t>
  </si>
  <si>
    <t xml:space="preserve">Weight Variation, </t>
  </si>
  <si>
    <t>Heater, Cup Transfer</t>
  </si>
  <si>
    <t>Case former, label machine</t>
  </si>
  <si>
    <t>Case Former, Cup Dropper, Labeler</t>
  </si>
  <si>
    <t>Piston and filler were not filling cups properly</t>
  </si>
  <si>
    <t>Cup dispenser, out of timing, lids rollers</t>
  </si>
  <si>
    <t>Waiting for salsa</t>
  </si>
  <si>
    <t>Inbound Expected</t>
  </si>
  <si>
    <t>Inbound Received</t>
  </si>
  <si>
    <t>Inbound Expected STOs</t>
  </si>
  <si>
    <t>Inbound Received STOs</t>
  </si>
  <si>
    <t>Number of cases scheduled to ship</t>
  </si>
  <si>
    <t>Number of loads</t>
  </si>
  <si>
    <t>Number of cases shipped</t>
  </si>
  <si>
    <t>Fill Rate %</t>
  </si>
  <si>
    <t>CPMH</t>
  </si>
  <si>
    <t>Comments</t>
  </si>
  <si>
    <t>12/192025</t>
  </si>
  <si>
    <t>12/29/2025</t>
  </si>
  <si>
    <t>12/30/2025</t>
  </si>
  <si>
    <t>12/31/2025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</si>
  <si>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</si>
  <si>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</si>
  <si>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</si>
  <si>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</si>
  <si>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</si>
  <si>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</si>
  <si>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</si>
  <si>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</si>
  <si>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</si>
  <si>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</si>
  <si>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</si>
  <si>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01/13/2026</t>
  </si>
  <si>
    <t>01/14/2026</t>
  </si>
  <si>
    <t>01/15/2026</t>
  </si>
  <si>
    <t>01/16/2026</t>
  </si>
  <si>
    <t>SHORT 660 cs. #5334, lids/cups</t>
  </si>
  <si>
    <t>SHORT 1876 no labels &amp; silver fork lids/cups</t>
  </si>
  <si>
    <t>SHORT 640 cs. # 8194, MV/TX issue, fixed</t>
  </si>
  <si>
    <t>SHORT 240 cs. # 5335, #5411 RB, 5418 PKG</t>
  </si>
  <si>
    <t>SHORT 34 cs. Yield loss (2 SKU's)</t>
  </si>
  <si>
    <t>99.7%</t>
  </si>
  <si>
    <t>WALMART</t>
  </si>
  <si>
    <t>SHORT 105 cs. # 5377 (short code)</t>
  </si>
  <si>
    <t>99.9%</t>
  </si>
  <si>
    <t>SHORT 58 cs. # 5327 (short code)</t>
  </si>
  <si>
    <t>ONE LOAD PUSHED TO TODAY - CARRIER</t>
  </si>
  <si>
    <t>SHORT 61 cs. # 5401 (order pulled forward)</t>
  </si>
  <si>
    <t>ALBERTSONS BREA cancelled order 168 cases</t>
  </si>
  <si>
    <t>SHORT 3 cs. #8292 (Costco)</t>
  </si>
  <si>
    <t>SHORT 27 cs # 5306 YIELD</t>
  </si>
  <si>
    <t>SHORT 12 cs. # 1876 no inventory</t>
  </si>
  <si>
    <t>SHORT 66 cs. # 8182</t>
  </si>
  <si>
    <t>SHORT 240 cs. # 8183 NO LABELS</t>
  </si>
  <si>
    <t>SHORT 87 cs. #8184 MOVED UP</t>
  </si>
  <si>
    <t>SHORT 588 cs # 8194 made less than plan</t>
  </si>
  <si>
    <t>SHORT 60 cs. # 8175 yield</t>
  </si>
  <si>
    <t>SHORT 95 cs # 5410 RIV. BCH transfer (THU)</t>
  </si>
  <si>
    <t>SHORT 65 cs # 5410 RIV. BCH transfer (THU)</t>
  </si>
  <si>
    <t>SHORT 84 cs # 5410 RIV. BCH transfer (THU)</t>
  </si>
  <si>
    <t>SHORT 10 cs. # 8252 &amp; 52 cs. # 1853 YIELD</t>
  </si>
  <si>
    <t>SHORT 2 cs. # 1853 YIELD</t>
  </si>
  <si>
    <t>PSA Bin</t>
  </si>
  <si>
    <t>Current Number of Items</t>
  </si>
  <si>
    <t>Difference</t>
  </si>
  <si>
    <t>Pack Room 1</t>
  </si>
  <si>
    <t>Pack Room 2</t>
  </si>
  <si>
    <t>Mix Area 1</t>
  </si>
  <si>
    <t>Mix Area 2</t>
  </si>
  <si>
    <t>Prep Room</t>
  </si>
  <si>
    <t>GR Production</t>
  </si>
  <si>
    <t>Clarifiication</t>
  </si>
  <si>
    <t>GR Zone</t>
  </si>
  <si>
    <t>hay 2 acepticos organicos</t>
  </si>
  <si>
    <t>COGI</t>
  </si>
  <si>
    <t>Variances</t>
  </si>
  <si>
    <t>Open Process Orders</t>
  </si>
  <si>
    <t>TECO</t>
  </si>
  <si>
    <t>Receiving Tasks</t>
  </si>
  <si>
    <t>Outbound Tasks</t>
  </si>
  <si>
    <t>Warehouse Tasks</t>
  </si>
  <si>
    <t>Clarification</t>
  </si>
  <si>
    <t>211 Salsa scrap factors + tomato scrap factors</t>
  </si>
  <si>
    <t>IT ticket for 1008176 GI not posted</t>
  </si>
  <si>
    <t>Scrap factor document (Darinka)</t>
  </si>
  <si>
    <t>Aging 37+16 open PO</t>
  </si>
  <si>
    <t>Ticket for garlic in water</t>
  </si>
  <si>
    <t>Change labels 3x4 and 3x5</t>
  </si>
  <si>
    <t>Scrapping PSA</t>
  </si>
  <si>
    <t>Adding HU to formula</t>
  </si>
  <si>
    <t>Consumption and GI of layers</t>
  </si>
  <si>
    <t>1 Aging</t>
  </si>
  <si>
    <t>1 aging</t>
  </si>
  <si>
    <t>270 ptwy</t>
  </si>
  <si>
    <t>2 IT tickets</t>
  </si>
  <si>
    <t>106 tasks from 1/2/25</t>
  </si>
  <si>
    <t xml:space="preserve">60 tasks from receving </t>
  </si>
  <si>
    <t>170 are receving</t>
  </si>
  <si>
    <t>againg GR-ZONE 40</t>
  </si>
  <si>
    <t>2 againg</t>
  </si>
  <si>
    <t>1005306 no putaway</t>
  </si>
  <si>
    <t>3 GR-production</t>
  </si>
  <si>
    <t>unclear</t>
  </si>
  <si>
    <t xml:space="preserve">1 GR PRODUCTION </t>
  </si>
  <si>
    <t>Work Orders Completed</t>
  </si>
  <si>
    <t>Work Orders Planned</t>
  </si>
  <si>
    <t>PM Completion</t>
  </si>
  <si>
    <t>PM Priority Line Completion</t>
  </si>
  <si>
    <t>Code Red</t>
  </si>
  <si>
    <t>Code Yellow</t>
  </si>
  <si>
    <t>Special Projects</t>
  </si>
  <si>
    <t>Holds</t>
  </si>
  <si>
    <t>Holds/COA</t>
  </si>
  <si>
    <t>PEM %</t>
  </si>
  <si>
    <t>Number of Complaints</t>
  </si>
  <si>
    <t>$/Pound - Direct</t>
  </si>
  <si>
    <t>$/Pound - Indirect</t>
  </si>
  <si>
    <t>OT - QA</t>
  </si>
  <si>
    <t>OT - Production</t>
  </si>
  <si>
    <t xml:space="preserve"> OT - Finance</t>
  </si>
  <si>
    <t>OT - Warehouse</t>
  </si>
  <si>
    <t>OT - HR | Training</t>
  </si>
  <si>
    <t>OT - SAP</t>
  </si>
  <si>
    <t>OT - Maintenance</t>
  </si>
  <si>
    <t>Total Overtime</t>
  </si>
  <si>
    <t>Conversion Cost</t>
  </si>
  <si>
    <t>Pounds/hour - Direct</t>
  </si>
  <si>
    <t>Pounds/hour - Indirect</t>
  </si>
  <si>
    <t>Target Pounds</t>
  </si>
  <si>
    <t>Pounds Produced</t>
  </si>
  <si>
    <t>Disposal Quantity</t>
  </si>
  <si>
    <t>Disposal Cost</t>
  </si>
  <si>
    <t>Trainings Complete</t>
  </si>
  <si>
    <t>Number of Meal Penalties</t>
  </si>
  <si>
    <t>Near Miss Reports</t>
  </si>
  <si>
    <t>Safety Audits</t>
  </si>
  <si>
    <t>Days Without Incident</t>
  </si>
  <si>
    <t>Head Count - Direct</t>
  </si>
  <si>
    <t>Head Count - Indirect</t>
  </si>
  <si>
    <t>Needs Action</t>
  </si>
  <si>
    <t>Date Completed</t>
  </si>
  <si>
    <t>Department</t>
  </si>
  <si>
    <t>Pre-op inspection pass rate needs to be updated</t>
  </si>
  <si>
    <t>Marvin</t>
  </si>
  <si>
    <t>Need to make sure we are not collecting null data from machines</t>
  </si>
  <si>
    <t>Production</t>
  </si>
  <si>
    <t>Monitor spice levels</t>
  </si>
  <si>
    <t>QA</t>
  </si>
  <si>
    <t>Monitor inventory shelf life</t>
  </si>
  <si>
    <t>Inventory Control</t>
  </si>
  <si>
    <t>Cilantro MLQ</t>
  </si>
  <si>
    <t>Get a layout for PL1</t>
  </si>
  <si>
    <t>Maintenance</t>
  </si>
  <si>
    <t>Follow up on returns</t>
  </si>
  <si>
    <t>Complete SA trainings</t>
  </si>
  <si>
    <t>HR | Training</t>
  </si>
  <si>
    <t>Warehouse</t>
  </si>
  <si>
    <t>Finance</t>
  </si>
  <si>
    <t>SAP</t>
  </si>
  <si>
    <t>Internal Audit Findings</t>
  </si>
  <si>
    <t>4x3 Labels, 5x3 Labels needed. BGR</t>
  </si>
  <si>
    <t>Damir/Procurement</t>
  </si>
  <si>
    <t>Start weekly report for "at risk" materials. Create an SOP</t>
  </si>
  <si>
    <t>Cristian &amp; Luis</t>
  </si>
  <si>
    <t>Tracking material and reducing material induced downtime</t>
  </si>
  <si>
    <t>Albert</t>
  </si>
  <si>
    <t>Warehouse tasks instead of receiving in metrics</t>
  </si>
  <si>
    <t>Communication with disposal and ingredients falling due to forklift practices</t>
  </si>
  <si>
    <t>Stacking pallets enforcing regulations for 10 pallets</t>
  </si>
  <si>
    <t>Training for CIL and Label machines</t>
  </si>
  <si>
    <t>Storage for oil</t>
  </si>
  <si>
    <t>Mario</t>
  </si>
  <si>
    <t>Spill kit</t>
  </si>
  <si>
    <t>Cristian</t>
  </si>
  <si>
    <t>Create an OPL for systematic consumption of various materials in production</t>
  </si>
  <si>
    <t>Cycle counts for layer line materials</t>
  </si>
  <si>
    <t>Missing HU for cytogard</t>
  </si>
  <si>
    <t>Luis A and E</t>
  </si>
  <si>
    <t>Clean molding material</t>
  </si>
  <si>
    <t>Mario and Cristian</t>
  </si>
  <si>
    <t>Move scale in batching.</t>
  </si>
  <si>
    <t>Mauricio</t>
  </si>
  <si>
    <t xml:space="preserve">Email Procurement disposal list for cilantro </t>
  </si>
  <si>
    <t>Maria</t>
  </si>
  <si>
    <t>TWO HOUR SAP OUTAGE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</si>
</sst>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_(* #,##0_);_(* \(#,##0\);_(* &quot;-&quot;??_);_(@_)"/>
    <numFmt numFmtId="170" formatCode="_(&quot;$&quot;* #,##0.000_);_(&quot;$&quot;* \(#,##0.000\);_(&quot;$&quot;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95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9" fontId="0" fillId="0" borderId="0" xfId="1" applyFont="1"/>
    <xf numFmtId="44" fontId="1" fillId="0" borderId="0" xfId="2" applyFont="1"/>
    <xf numFmtId="44" fontId="0" fillId="0" borderId="0" xfId="2" applyFont="1"/>
    <xf numFmtId="0" fontId="1" fillId="2" borderId="1" xfId="0" applyFont="1" applyFill="1" applyBorder="1"/>
    <xf numFmtId="10" fontId="1" fillId="2" borderId="1" xfId="0" applyNumberFormat="1" applyFont="1" applyFill="1" applyBorder="1"/>
    <xf numFmtId="10" fontId="0" fillId="0" borderId="0" xfId="0" applyNumberFormat="1"/>
    <xf numFmtId="44" fontId="1" fillId="2" borderId="1" xfId="2" applyFont="1" applyFill="1" applyBorder="1"/>
    <xf numFmtId="0" fontId="0" fillId="3" borderId="0" xfId="0" applyFill="1"/>
    <xf numFmtId="0" fontId="0" fillId="2" borderId="1" xfId="0" applyFill="1" applyBorder="1"/>
    <xf numFmtId="9" fontId="0" fillId="0" borderId="1" xfId="1" applyFont="1" applyBorder="1"/>
    <xf numFmtId="9" fontId="1" fillId="2" borderId="1" xfId="1" applyFont="1" applyFill="1" applyBorder="1"/>
    <xf numFmtId="2" fontId="0" fillId="0" borderId="0" xfId="0" applyNumberFormat="1"/>
    <xf numFmtId="2" fontId="1" fillId="0" borderId="0" xfId="2" applyNumberFormat="1" applyFont="1"/>
    <xf numFmtId="2" fontId="0" fillId="0" borderId="0" xfId="2" applyNumberFormat="1" applyFont="1"/>
    <xf numFmtId="0" fontId="1" fillId="0" borderId="0" xfId="1" applyNumberFormat="1" applyFont="1"/>
    <xf numFmtId="0" fontId="0" fillId="0" borderId="0" xfId="1" applyNumberFormat="1" applyFont="1"/>
    <xf numFmtId="14" fontId="4" fillId="0" borderId="0" xfId="0" applyNumberFormat="1" applyFont="1"/>
    <xf numFmtId="0" fontId="4" fillId="0" borderId="0" xfId="0" applyFont="1"/>
    <xf numFmtId="8" fontId="4" fillId="0" borderId="0" xfId="0" applyNumberFormat="1" applyFont="1"/>
    <xf numFmtId="2" fontId="4" fillId="0" borderId="0" xfId="0" applyNumberFormat="1" applyFont="1"/>
    <xf numFmtId="14" fontId="5" fillId="5" borderId="2" xfId="0" applyNumberFormat="1" applyFont="1" applyFill="1" applyBorder="1"/>
    <xf numFmtId="2" fontId="0" fillId="6" borderId="3" xfId="0" applyNumberFormat="1" applyFill="1" applyBorder="1"/>
    <xf numFmtId="0" fontId="0" fillId="6" borderId="3" xfId="0" applyFill="1" applyBorder="1"/>
    <xf numFmtId="0" fontId="0" fillId="6" borderId="4" xfId="0" applyFill="1" applyBorder="1"/>
    <xf numFmtId="2" fontId="0" fillId="7" borderId="3" xfId="0" applyNumberFormat="1" applyFill="1" applyBorder="1"/>
    <xf numFmtId="0" fontId="0" fillId="7" borderId="3" xfId="0" applyFill="1" applyBorder="1"/>
    <xf numFmtId="0" fontId="0" fillId="7" borderId="4" xfId="0" applyFill="1" applyBorder="1"/>
    <xf numFmtId="14" fontId="5" fillId="5" borderId="5" xfId="0" applyNumberFormat="1" applyFont="1" applyFill="1" applyBorder="1"/>
    <xf numFmtId="2" fontId="0" fillId="6" borderId="6" xfId="0" applyNumberFormat="1" applyFill="1" applyBorder="1"/>
    <xf numFmtId="0" fontId="0" fillId="6" borderId="6" xfId="0" applyFill="1" applyBorder="1"/>
    <xf numFmtId="0" fontId="0" fillId="6" borderId="7" xfId="0" applyFill="1" applyBorder="1"/>
    <xf numFmtId="14" fontId="4" fillId="0" borderId="1" xfId="0" applyNumberFormat="1" applyFont="1" applyBorder="1"/>
    <xf numFmtId="0" fontId="4" fillId="0" borderId="1" xfId="0" applyFont="1" applyBorder="1"/>
    <xf numFmtId="14" fontId="0" fillId="0" borderId="1" xfId="0" applyNumberFormat="1" applyBorder="1"/>
    <xf numFmtId="0" fontId="0" fillId="0" borderId="1" xfId="0" applyBorder="1"/>
    <xf numFmtId="16" fontId="0" fillId="0" borderId="0" xfId="0" quotePrefix="1" applyNumberFormat="1"/>
    <xf numFmtId="14" fontId="0" fillId="8" borderId="0" xfId="0" applyNumberFormat="1" applyFill="1"/>
    <xf numFmtId="0" fontId="0" fillId="8" borderId="0" xfId="0" applyFill="1"/>
    <xf numFmtId="14" fontId="1" fillId="0" borderId="8" xfId="0" applyNumberFormat="1" applyFont="1" applyBorder="1"/>
    <xf numFmtId="0" fontId="1" fillId="0" borderId="8" xfId="0" applyFont="1" applyBorder="1"/>
    <xf numFmtId="2" fontId="1" fillId="0" borderId="8" xfId="0" applyNumberFormat="1" applyFont="1" applyBorder="1"/>
    <xf numFmtId="14" fontId="0" fillId="0" borderId="8" xfId="0" applyNumberFormat="1" applyBorder="1"/>
    <xf numFmtId="0" fontId="0" fillId="0" borderId="8" xfId="0" applyBorder="1"/>
    <xf numFmtId="2" fontId="0" fillId="0" borderId="8" xfId="0" applyNumberFormat="1" applyBorder="1"/>
    <xf numFmtId="2" fontId="1" fillId="0" borderId="0" xfId="1" applyNumberFormat="1" applyFont="1"/>
    <xf numFmtId="2" fontId="0" fillId="0" borderId="0" xfId="1" applyNumberFormat="1" applyFont="1"/>
    <xf numFmtId="164" fontId="1" fillId="0" borderId="0" xfId="2" applyNumberFormat="1" applyFont="1" applyAlignment="1">
      <alignment horizontal="center"/>
    </xf>
    <xf numFmtId="164" fontId="0" fillId="0" borderId="0" xfId="2" applyNumberFormat="1" applyFont="1" applyAlignment="1">
      <alignment horizontal="center"/>
    </xf>
    <xf numFmtId="164" fontId="0" fillId="6" borderId="3" xfId="0" applyNumberFormat="1" applyFill="1" applyBorder="1" applyAlignment="1">
      <alignment horizontal="center"/>
    </xf>
    <xf numFmtId="164" fontId="0" fillId="7" borderId="3" xfId="0" applyNumberFormat="1" applyFill="1" applyBorder="1" applyAlignment="1">
      <alignment horizontal="center"/>
    </xf>
    <xf numFmtId="164" fontId="0" fillId="6" borderId="6" xfId="0" applyNumberFormat="1" applyFill="1" applyBorder="1" applyAlignment="1">
      <alignment horizontal="center"/>
    </xf>
    <xf numFmtId="165" fontId="1" fillId="0" borderId="0" xfId="3" applyNumberFormat="1" applyFont="1"/>
    <xf numFmtId="165" fontId="0" fillId="0" borderId="0" xfId="3" applyNumberFormat="1" applyFont="1"/>
    <xf numFmtId="165" fontId="4" fillId="0" borderId="0" xfId="3" applyNumberFormat="1" applyFont="1"/>
    <xf numFmtId="6" fontId="0" fillId="0" borderId="0" xfId="2" applyNumberFormat="1" applyFont="1"/>
    <xf numFmtId="0" fontId="1" fillId="4" borderId="1" xfId="0" applyFont="1" applyFill="1" applyBorder="1"/>
    <xf numFmtId="14" fontId="0" fillId="4" borderId="1" xfId="0" applyNumberFormat="1" applyFill="1" applyBorder="1"/>
    <xf numFmtId="0" fontId="0" fillId="4" borderId="1" xfId="0" applyFill="1" applyBorder="1"/>
    <xf numFmtId="14" fontId="0" fillId="4" borderId="9" xfId="0" applyNumberFormat="1" applyFill="1" applyBorder="1"/>
    <xf numFmtId="0" fontId="0" fillId="4" borderId="9" xfId="0" applyFill="1" applyBorder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9" fontId="0" fillId="0" borderId="0" xfId="1" quotePrefix="1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center"/>
    </xf>
    <xf numFmtId="2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2" fontId="1" fillId="0" borderId="0" xfId="1" applyNumberFormat="1" applyFont="1" applyAlignment="1">
      <alignment horizontal="center"/>
    </xf>
    <xf numFmtId="2" fontId="0" fillId="0" borderId="0" xfId="1" applyNumberFormat="1" applyFont="1" applyFill="1" applyAlignment="1">
      <alignment horizontal="center"/>
    </xf>
    <xf numFmtId="0" fontId="0" fillId="9" borderId="0" xfId="0" applyFill="1"/>
    <xf numFmtId="2" fontId="1" fillId="2" borderId="0" xfId="1" applyNumberFormat="1" applyFont="1" applyFill="1" applyBorder="1"/>
    <xf numFmtId="0" fontId="0" fillId="0" borderId="0" xfId="0" applyAlignment="1">
      <alignment wrapText="1"/>
    </xf>
    <xf numFmtId="14" fontId="0" fillId="0" borderId="10" xfId="0" applyNumberFormat="1" applyBorder="1"/>
    <xf numFmtId="2" fontId="0" fillId="0" borderId="10" xfId="0" applyNumberFormat="1" applyBorder="1"/>
    <xf numFmtId="0" fontId="0" fillId="0" borderId="10" xfId="0" applyBorder="1"/>
    <xf numFmtId="14" fontId="0" fillId="0" borderId="0" xfId="1" applyNumberFormat="1" applyFont="1"/>
    <xf numFmtId="0" fontId="0" fillId="6" borderId="0" xfId="0" applyFill="1"/>
    <xf numFmtId="0" fontId="0" fillId="7" borderId="0" xfId="0" applyFill="1"/>
    <xf numFmtId="14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1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0" fillId="2" borderId="1" xfId="0" applyFill="1" applyBorder="1" applyAlignment="1">
      <alignment wrapText="1"/>
    </xf>
    <xf numFmtId="9" fontId="1" fillId="0" borderId="0" xfId="1" applyFont="1" applyAlignment="1">
      <alignment wrapText="1"/>
    </xf>
    <xf numFmtId="0" fontId="8" fillId="0" borderId="0" xfId="0" applyFont="1" applyAlignment="1">
      <alignment horizontal="left"/>
    </xf>
    <xf numFmtId="0" fontId="9" fillId="0" borderId="0" xfId="4"/>
    <xf numFmtId="170" fontId="1" fillId="0" borderId="0" xfId="2" applyNumberFormat="1" applyFont="1"/>
    <xf numFmtId="170" fontId="0" fillId="0" borderId="0" xfId="2" applyNumberFormat="1" applyFont="1"/>
    <xf numFmtId="170" fontId="4" fillId="0" borderId="0" xfId="0" applyNumberFormat="1" applyFont="1"/>
  </cellXfs>
  <cellStyles count="5">
    <cellStyle name="Comma" xfId="3" builtinId="3"/>
    <cellStyle name="Currency" xfId="2" builtinId="4"/>
    <cellStyle name="Hyperlink" xfId="4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56F4-B1E7-475A-9F28-7031A863412F}">
  <dimension ref="A1:J178"/>
  <sheetViews>
    <sheetView tabSelected="1" workbookViewId="0">
      <pane ySplit="1" topLeftCell="A157" activePane="bottomLeft" state="frozen"/>
      <selection pane="bottomLeft" activeCell="H165" sqref="H165"/>
    </sheetView>
  </sheetViews>
  <sheetFormatPr defaultRowHeight="14.4" x14ac:dyDescent="0.3"/>
  <cols>
    <col min="1" max="1" width="10.5546875" style="1" bestFit="1" customWidth="1"/>
    <col min="2" max="2" width="10.109375" bestFit="1" customWidth="1"/>
    <col min="3" max="3" width="23.33203125" bestFit="1" customWidth="1"/>
    <col min="4" max="4" width="20.5546875" bestFit="1" customWidth="1"/>
    <col min="5" max="5" width="16.5546875" style="9" bestFit="1" customWidth="1"/>
    <col min="6" max="6" width="13.33203125" style="6" bestFit="1" customWidth="1"/>
    <col min="7" max="7" width="15.6640625" style="4" bestFit="1" customWidth="1"/>
    <col min="8" max="8" width="15.6640625" style="49" customWidth="1"/>
    <col min="9" max="9" width="49.88671875" bestFit="1" customWidth="1"/>
    <col min="10" max="10" width="9.33203125" bestFit="1" customWidth="1"/>
  </cols>
  <sheetData>
    <row r="1" spans="1:10" x14ac:dyDescent="0.3">
      <c r="A1" s="3" t="s">
        <v>0</v>
      </c>
      <c r="B1" s="2" t="s">
        <v>1</v>
      </c>
      <c r="C1" s="7" t="s">
        <v>2</v>
      </c>
      <c r="D1" s="7" t="s">
        <v>3</v>
      </c>
      <c r="E1" s="8" t="s">
        <v>4</v>
      </c>
      <c r="F1" s="10" t="s">
        <v>5</v>
      </c>
      <c r="G1" s="14" t="s">
        <v>6</v>
      </c>
      <c r="H1" s="75" t="s">
        <v>7</v>
      </c>
      <c r="I1" s="2" t="s">
        <v>8</v>
      </c>
      <c r="J1" s="2" t="s">
        <v>9</v>
      </c>
    </row>
    <row r="2" spans="1:10" x14ac:dyDescent="0.3">
      <c r="A2" s="1">
        <v>45969</v>
      </c>
      <c r="B2" t="s">
        <v>10</v>
      </c>
      <c r="C2">
        <v>40</v>
      </c>
      <c r="D2">
        <v>40</v>
      </c>
      <c r="E2" s="9">
        <f>IFERROR(D2/C2, NA())</f>
        <v>1</v>
      </c>
      <c r="F2" s="6">
        <v>-3941</v>
      </c>
      <c r="I2" t="s">
        <v>11</v>
      </c>
    </row>
    <row r="3" spans="1:10" x14ac:dyDescent="0.3">
      <c r="A3" s="1">
        <v>45969</v>
      </c>
      <c r="B3" t="s">
        <v>12</v>
      </c>
      <c r="C3">
        <v>0</v>
      </c>
      <c r="D3">
        <v>0</v>
      </c>
      <c r="E3" s="9" t="e">
        <f t="shared" ref="E3:E65" si="0">IFERROR(D3/C3, NA())</f>
        <v>#N/A</v>
      </c>
      <c r="F3" s="6">
        <v>0</v>
      </c>
    </row>
    <row r="4" spans="1:10" x14ac:dyDescent="0.3">
      <c r="A4" s="1">
        <v>45971</v>
      </c>
      <c r="B4" t="s">
        <v>10</v>
      </c>
      <c r="C4">
        <v>17</v>
      </c>
      <c r="D4">
        <v>17</v>
      </c>
      <c r="E4" s="9">
        <f t="shared" si="0"/>
        <v>1</v>
      </c>
      <c r="F4" s="6">
        <v>0</v>
      </c>
      <c r="I4" t="s">
        <v>13</v>
      </c>
    </row>
    <row r="5" spans="1:10" x14ac:dyDescent="0.3">
      <c r="A5" s="1">
        <v>45971</v>
      </c>
      <c r="B5" t="s">
        <v>12</v>
      </c>
      <c r="C5">
        <v>0</v>
      </c>
      <c r="D5">
        <v>0</v>
      </c>
      <c r="E5" s="9" t="e">
        <f t="shared" si="0"/>
        <v>#N/A</v>
      </c>
      <c r="F5" s="6">
        <v>0</v>
      </c>
    </row>
    <row r="6" spans="1:10" x14ac:dyDescent="0.3">
      <c r="A6" s="1">
        <v>45972</v>
      </c>
      <c r="B6" t="s">
        <v>10</v>
      </c>
      <c r="C6">
        <v>0</v>
      </c>
      <c r="D6">
        <v>0</v>
      </c>
      <c r="E6" s="9" t="e">
        <f t="shared" si="0"/>
        <v>#N/A</v>
      </c>
      <c r="F6" s="6">
        <v>0</v>
      </c>
    </row>
    <row r="7" spans="1:10" x14ac:dyDescent="0.3">
      <c r="A7" s="1">
        <v>45972</v>
      </c>
      <c r="B7" t="s">
        <v>12</v>
      </c>
      <c r="C7">
        <v>0</v>
      </c>
      <c r="D7">
        <v>0</v>
      </c>
      <c r="E7" s="9" t="e">
        <f t="shared" si="0"/>
        <v>#N/A</v>
      </c>
      <c r="F7" s="6">
        <v>0</v>
      </c>
    </row>
    <row r="8" spans="1:10" x14ac:dyDescent="0.3">
      <c r="A8" s="1">
        <v>45973</v>
      </c>
      <c r="B8" t="s">
        <v>10</v>
      </c>
      <c r="C8">
        <v>17</v>
      </c>
      <c r="D8">
        <v>17</v>
      </c>
      <c r="E8" s="9">
        <f t="shared" si="0"/>
        <v>1</v>
      </c>
      <c r="F8" s="6">
        <v>2549.21</v>
      </c>
      <c r="I8" t="s">
        <v>14</v>
      </c>
    </row>
    <row r="9" spans="1:10" x14ac:dyDescent="0.3">
      <c r="A9" s="1">
        <v>45973</v>
      </c>
      <c r="B9" t="s">
        <v>12</v>
      </c>
      <c r="C9">
        <v>0</v>
      </c>
      <c r="D9">
        <v>0</v>
      </c>
      <c r="E9" s="9" t="e">
        <f t="shared" si="0"/>
        <v>#N/A</v>
      </c>
      <c r="F9" s="6">
        <v>0</v>
      </c>
    </row>
    <row r="10" spans="1:10" x14ac:dyDescent="0.3">
      <c r="A10" s="1">
        <v>45974</v>
      </c>
      <c r="B10" t="s">
        <v>10</v>
      </c>
      <c r="C10">
        <v>10</v>
      </c>
      <c r="D10">
        <v>10</v>
      </c>
      <c r="E10" s="9">
        <f t="shared" si="0"/>
        <v>1</v>
      </c>
      <c r="F10" s="6">
        <v>0</v>
      </c>
    </row>
    <row r="11" spans="1:10" x14ac:dyDescent="0.3">
      <c r="A11" s="1">
        <v>45974</v>
      </c>
      <c r="B11" t="s">
        <v>12</v>
      </c>
      <c r="C11">
        <v>0</v>
      </c>
      <c r="D11">
        <v>0</v>
      </c>
      <c r="E11" s="9" t="e">
        <f t="shared" si="0"/>
        <v>#N/A</v>
      </c>
      <c r="F11" s="6">
        <v>0</v>
      </c>
    </row>
    <row r="12" spans="1:10" x14ac:dyDescent="0.3">
      <c r="A12" s="1">
        <v>45975</v>
      </c>
      <c r="B12" t="s">
        <v>10</v>
      </c>
      <c r="C12">
        <v>0</v>
      </c>
      <c r="D12">
        <v>0</v>
      </c>
      <c r="E12" s="9" t="e">
        <f t="shared" si="0"/>
        <v>#N/A</v>
      </c>
      <c r="F12" s="6">
        <v>0</v>
      </c>
    </row>
    <row r="13" spans="1:10" x14ac:dyDescent="0.3">
      <c r="A13" s="1">
        <v>45975</v>
      </c>
      <c r="B13" t="s">
        <v>12</v>
      </c>
      <c r="C13">
        <v>0</v>
      </c>
      <c r="D13">
        <v>0</v>
      </c>
      <c r="E13" s="9" t="e">
        <f t="shared" si="0"/>
        <v>#N/A</v>
      </c>
      <c r="F13" s="6">
        <v>0</v>
      </c>
    </row>
    <row r="14" spans="1:10" x14ac:dyDescent="0.3">
      <c r="A14" s="1">
        <v>45976</v>
      </c>
      <c r="B14" t="s">
        <v>10</v>
      </c>
      <c r="C14">
        <v>0</v>
      </c>
      <c r="D14">
        <v>0</v>
      </c>
      <c r="E14" s="9" t="e">
        <f t="shared" si="0"/>
        <v>#N/A</v>
      </c>
      <c r="F14" s="6">
        <v>0</v>
      </c>
      <c r="I14" t="s">
        <v>15</v>
      </c>
    </row>
    <row r="15" spans="1:10" x14ac:dyDescent="0.3">
      <c r="A15" s="1">
        <v>45976</v>
      </c>
      <c r="B15" t="s">
        <v>12</v>
      </c>
      <c r="C15">
        <v>1</v>
      </c>
      <c r="D15">
        <v>1</v>
      </c>
      <c r="E15" s="9">
        <f t="shared" si="0"/>
        <v>1</v>
      </c>
      <c r="F15" s="6">
        <v>-250000</v>
      </c>
    </row>
    <row r="16" spans="1:10" x14ac:dyDescent="0.3">
      <c r="A16" s="1">
        <v>45978</v>
      </c>
      <c r="B16" t="s">
        <v>10</v>
      </c>
      <c r="C16">
        <v>17</v>
      </c>
      <c r="D16">
        <v>17</v>
      </c>
      <c r="E16" s="9">
        <f t="shared" si="0"/>
        <v>1</v>
      </c>
      <c r="F16" s="6">
        <v>2000</v>
      </c>
      <c r="I16" t="s">
        <v>13</v>
      </c>
    </row>
    <row r="17" spans="1:9" x14ac:dyDescent="0.3">
      <c r="A17" s="1">
        <v>45978</v>
      </c>
      <c r="B17" t="s">
        <v>12</v>
      </c>
      <c r="C17">
        <v>0</v>
      </c>
      <c r="D17">
        <v>0</v>
      </c>
      <c r="E17" s="9" t="e">
        <f t="shared" si="0"/>
        <v>#N/A</v>
      </c>
      <c r="F17" s="6">
        <v>0</v>
      </c>
    </row>
    <row r="18" spans="1:9" x14ac:dyDescent="0.3">
      <c r="A18" s="1">
        <v>45979</v>
      </c>
      <c r="B18" t="s">
        <v>10</v>
      </c>
      <c r="C18">
        <v>20</v>
      </c>
      <c r="D18">
        <v>20</v>
      </c>
      <c r="E18" s="9">
        <f t="shared" si="0"/>
        <v>1</v>
      </c>
      <c r="F18" s="6">
        <v>-1037.06</v>
      </c>
      <c r="I18" t="s">
        <v>16</v>
      </c>
    </row>
    <row r="19" spans="1:9" x14ac:dyDescent="0.3">
      <c r="A19" s="1">
        <v>45979</v>
      </c>
      <c r="B19" t="s">
        <v>12</v>
      </c>
      <c r="C19">
        <v>0</v>
      </c>
      <c r="D19">
        <v>0</v>
      </c>
      <c r="E19" s="9" t="e">
        <f t="shared" si="0"/>
        <v>#N/A</v>
      </c>
      <c r="F19" s="6">
        <v>0</v>
      </c>
    </row>
    <row r="20" spans="1:9" x14ac:dyDescent="0.3">
      <c r="A20" s="1">
        <v>45980</v>
      </c>
      <c r="B20" t="s">
        <v>10</v>
      </c>
      <c r="C20">
        <v>25</v>
      </c>
      <c r="D20">
        <v>25</v>
      </c>
      <c r="E20" s="9">
        <f t="shared" si="0"/>
        <v>1</v>
      </c>
      <c r="F20" s="6">
        <v>0</v>
      </c>
      <c r="I20" t="s">
        <v>16</v>
      </c>
    </row>
    <row r="21" spans="1:9" x14ac:dyDescent="0.3">
      <c r="A21" s="1">
        <v>45980</v>
      </c>
      <c r="B21" t="s">
        <v>12</v>
      </c>
      <c r="C21">
        <v>0</v>
      </c>
      <c r="D21">
        <v>0</v>
      </c>
      <c r="E21" s="9" t="e">
        <f t="shared" si="0"/>
        <v>#N/A</v>
      </c>
      <c r="F21" s="6">
        <v>0</v>
      </c>
    </row>
    <row r="22" spans="1:9" x14ac:dyDescent="0.3">
      <c r="A22" s="1">
        <v>45981</v>
      </c>
      <c r="B22" t="s">
        <v>10</v>
      </c>
      <c r="C22">
        <v>18</v>
      </c>
      <c r="D22">
        <v>18</v>
      </c>
      <c r="E22" s="9">
        <f t="shared" si="0"/>
        <v>1</v>
      </c>
      <c r="F22" s="6">
        <v>-339.34</v>
      </c>
      <c r="I22" t="s">
        <v>17</v>
      </c>
    </row>
    <row r="23" spans="1:9" x14ac:dyDescent="0.3">
      <c r="A23" s="1">
        <v>45981</v>
      </c>
      <c r="B23" t="s">
        <v>12</v>
      </c>
      <c r="C23">
        <v>0</v>
      </c>
      <c r="D23">
        <v>0</v>
      </c>
      <c r="E23" s="9" t="e">
        <f t="shared" si="0"/>
        <v>#N/A</v>
      </c>
      <c r="F23" s="6">
        <v>0</v>
      </c>
    </row>
    <row r="24" spans="1:9" x14ac:dyDescent="0.3">
      <c r="A24" s="1">
        <v>45982</v>
      </c>
      <c r="B24" t="s">
        <v>10</v>
      </c>
      <c r="C24">
        <v>20</v>
      </c>
      <c r="D24">
        <v>20</v>
      </c>
      <c r="E24" s="9">
        <f t="shared" si="0"/>
        <v>1</v>
      </c>
      <c r="F24" s="6">
        <v>496.05</v>
      </c>
      <c r="I24" t="s">
        <v>17</v>
      </c>
    </row>
    <row r="25" spans="1:9" x14ac:dyDescent="0.3">
      <c r="A25" s="1">
        <v>45982</v>
      </c>
      <c r="B25" t="s">
        <v>12</v>
      </c>
      <c r="C25">
        <v>0</v>
      </c>
      <c r="D25">
        <v>0</v>
      </c>
      <c r="E25" s="9" t="e">
        <f t="shared" si="0"/>
        <v>#N/A</v>
      </c>
      <c r="F25" s="6">
        <v>0</v>
      </c>
    </row>
    <row r="26" spans="1:9" x14ac:dyDescent="0.3">
      <c r="A26" s="1">
        <v>45980</v>
      </c>
      <c r="B26" t="s">
        <v>10</v>
      </c>
      <c r="C26">
        <v>23</v>
      </c>
      <c r="D26">
        <v>23</v>
      </c>
      <c r="E26" s="9">
        <f t="shared" si="0"/>
        <v>1</v>
      </c>
      <c r="F26" s="6">
        <v>-362.74</v>
      </c>
      <c r="I26" t="s">
        <v>17</v>
      </c>
    </row>
    <row r="27" spans="1:9" x14ac:dyDescent="0.3">
      <c r="A27" s="1">
        <v>45980</v>
      </c>
      <c r="B27" t="s">
        <v>12</v>
      </c>
      <c r="C27">
        <v>0</v>
      </c>
      <c r="D27">
        <v>0</v>
      </c>
      <c r="E27" s="9" t="e">
        <f t="shared" si="0"/>
        <v>#N/A</v>
      </c>
      <c r="F27" s="6">
        <v>0</v>
      </c>
    </row>
    <row r="28" spans="1:9" x14ac:dyDescent="0.3">
      <c r="A28" s="1">
        <v>45981</v>
      </c>
      <c r="B28" t="s">
        <v>10</v>
      </c>
      <c r="C28">
        <v>18</v>
      </c>
      <c r="D28">
        <v>18</v>
      </c>
      <c r="E28" s="9">
        <f t="shared" si="0"/>
        <v>1</v>
      </c>
      <c r="F28" s="6">
        <v>0</v>
      </c>
      <c r="I28" t="s">
        <v>17</v>
      </c>
    </row>
    <row r="29" spans="1:9" x14ac:dyDescent="0.3">
      <c r="A29" s="1">
        <v>45981</v>
      </c>
      <c r="B29" t="s">
        <v>12</v>
      </c>
      <c r="C29">
        <v>0</v>
      </c>
      <c r="D29">
        <v>0</v>
      </c>
      <c r="E29" s="9" t="e">
        <f t="shared" si="0"/>
        <v>#N/A</v>
      </c>
      <c r="F29" s="6">
        <v>0</v>
      </c>
    </row>
    <row r="30" spans="1:9" x14ac:dyDescent="0.3">
      <c r="A30" s="1">
        <v>45982</v>
      </c>
      <c r="B30" t="s">
        <v>10</v>
      </c>
      <c r="C30">
        <v>25</v>
      </c>
      <c r="D30">
        <v>25</v>
      </c>
      <c r="E30" s="9">
        <f t="shared" si="0"/>
        <v>1</v>
      </c>
      <c r="F30" s="6">
        <v>0</v>
      </c>
      <c r="I30" t="s">
        <v>17</v>
      </c>
    </row>
    <row r="31" spans="1:9" x14ac:dyDescent="0.3">
      <c r="A31" s="1">
        <v>45982</v>
      </c>
      <c r="B31" t="s">
        <v>12</v>
      </c>
      <c r="C31">
        <v>0</v>
      </c>
      <c r="D31">
        <v>0</v>
      </c>
      <c r="E31" s="9" t="e">
        <f t="shared" si="0"/>
        <v>#N/A</v>
      </c>
      <c r="F31" s="6">
        <v>0</v>
      </c>
    </row>
    <row r="32" spans="1:9" x14ac:dyDescent="0.3">
      <c r="A32" s="1">
        <v>45985</v>
      </c>
      <c r="B32" t="s">
        <v>10</v>
      </c>
      <c r="C32">
        <v>30</v>
      </c>
      <c r="D32">
        <v>30</v>
      </c>
      <c r="E32" s="9">
        <f t="shared" si="0"/>
        <v>1</v>
      </c>
      <c r="F32" s="6">
        <v>0</v>
      </c>
      <c r="I32" t="s">
        <v>17</v>
      </c>
    </row>
    <row r="33" spans="1:9" x14ac:dyDescent="0.3">
      <c r="A33" s="1">
        <v>45985</v>
      </c>
      <c r="B33" t="s">
        <v>12</v>
      </c>
      <c r="C33">
        <v>0</v>
      </c>
      <c r="D33">
        <v>0</v>
      </c>
      <c r="E33" s="9" t="e">
        <f t="shared" si="0"/>
        <v>#N/A</v>
      </c>
      <c r="F33" s="6">
        <v>0</v>
      </c>
    </row>
    <row r="34" spans="1:9" x14ac:dyDescent="0.3">
      <c r="A34" s="1">
        <v>45986</v>
      </c>
      <c r="B34" t="s">
        <v>10</v>
      </c>
      <c r="C34">
        <v>18</v>
      </c>
      <c r="D34">
        <v>18</v>
      </c>
      <c r="E34" s="9">
        <f t="shared" si="0"/>
        <v>1</v>
      </c>
      <c r="F34" s="6">
        <v>21068.34</v>
      </c>
      <c r="I34" t="s">
        <v>13</v>
      </c>
    </row>
    <row r="35" spans="1:9" x14ac:dyDescent="0.3">
      <c r="A35" s="1">
        <v>45986</v>
      </c>
      <c r="B35" t="s">
        <v>12</v>
      </c>
      <c r="C35">
        <v>0</v>
      </c>
      <c r="D35">
        <v>0</v>
      </c>
      <c r="E35" s="9" t="e">
        <f t="shared" si="0"/>
        <v>#N/A</v>
      </c>
      <c r="F35" s="6">
        <v>0</v>
      </c>
    </row>
    <row r="36" spans="1:9" x14ac:dyDescent="0.3">
      <c r="A36" s="1">
        <v>45987</v>
      </c>
      <c r="B36" t="s">
        <v>10</v>
      </c>
      <c r="C36">
        <v>50</v>
      </c>
      <c r="D36">
        <v>50</v>
      </c>
      <c r="E36" s="9">
        <f t="shared" si="0"/>
        <v>1</v>
      </c>
      <c r="F36" s="6">
        <v>0</v>
      </c>
      <c r="I36" t="s">
        <v>18</v>
      </c>
    </row>
    <row r="37" spans="1:9" x14ac:dyDescent="0.3">
      <c r="A37" s="1">
        <v>45987</v>
      </c>
      <c r="B37" t="s">
        <v>12</v>
      </c>
      <c r="C37">
        <v>0</v>
      </c>
      <c r="D37">
        <v>0</v>
      </c>
      <c r="E37" s="9" t="e">
        <f t="shared" si="0"/>
        <v>#N/A</v>
      </c>
      <c r="F37" s="6">
        <v>0</v>
      </c>
    </row>
    <row r="38" spans="1:9" x14ac:dyDescent="0.3">
      <c r="A38" s="1">
        <v>45992</v>
      </c>
      <c r="B38" t="s">
        <v>10</v>
      </c>
      <c r="C38">
        <v>25</v>
      </c>
      <c r="D38">
        <v>25</v>
      </c>
      <c r="E38" s="9">
        <f t="shared" si="0"/>
        <v>1</v>
      </c>
      <c r="F38" s="6">
        <v>0</v>
      </c>
      <c r="I38" t="s">
        <v>13</v>
      </c>
    </row>
    <row r="39" spans="1:9" x14ac:dyDescent="0.3">
      <c r="A39" s="1">
        <v>45992</v>
      </c>
      <c r="B39" t="s">
        <v>12</v>
      </c>
      <c r="C39">
        <v>0</v>
      </c>
      <c r="D39">
        <v>0</v>
      </c>
      <c r="E39" s="9" t="e">
        <f t="shared" si="0"/>
        <v>#N/A</v>
      </c>
      <c r="F39" s="6">
        <v>0</v>
      </c>
    </row>
    <row r="40" spans="1:9" x14ac:dyDescent="0.3">
      <c r="A40" s="1">
        <v>45993</v>
      </c>
      <c r="B40" t="s">
        <v>10</v>
      </c>
      <c r="C40">
        <v>30</v>
      </c>
      <c r="D40">
        <v>30</v>
      </c>
      <c r="E40" s="9">
        <f t="shared" si="0"/>
        <v>1</v>
      </c>
      <c r="F40" s="6">
        <v>0</v>
      </c>
      <c r="I40" t="s">
        <v>19</v>
      </c>
    </row>
    <row r="41" spans="1:9" x14ac:dyDescent="0.3">
      <c r="A41" s="1">
        <v>45993</v>
      </c>
      <c r="B41" t="s">
        <v>12</v>
      </c>
      <c r="C41">
        <v>0</v>
      </c>
      <c r="D41">
        <v>0</v>
      </c>
      <c r="E41" s="9" t="e">
        <f t="shared" si="0"/>
        <v>#N/A</v>
      </c>
      <c r="F41" s="6">
        <v>0</v>
      </c>
    </row>
    <row r="42" spans="1:9" x14ac:dyDescent="0.3">
      <c r="A42" s="1">
        <v>45994</v>
      </c>
      <c r="B42" t="s">
        <v>10</v>
      </c>
      <c r="C42">
        <v>20</v>
      </c>
      <c r="D42">
        <v>20</v>
      </c>
      <c r="E42" s="9">
        <f t="shared" si="0"/>
        <v>1</v>
      </c>
      <c r="F42" s="6">
        <v>0</v>
      </c>
      <c r="I42" t="s">
        <v>20</v>
      </c>
    </row>
    <row r="43" spans="1:9" x14ac:dyDescent="0.3">
      <c r="A43" s="1">
        <v>45994</v>
      </c>
      <c r="B43" t="s">
        <v>12</v>
      </c>
      <c r="C43">
        <v>0</v>
      </c>
      <c r="D43">
        <v>0</v>
      </c>
      <c r="E43" s="9" t="e">
        <f t="shared" si="0"/>
        <v>#N/A</v>
      </c>
      <c r="F43" s="6">
        <v>0</v>
      </c>
    </row>
    <row r="44" spans="1:9" x14ac:dyDescent="0.3">
      <c r="A44" s="1">
        <v>45995</v>
      </c>
      <c r="B44" t="s">
        <v>10</v>
      </c>
      <c r="C44">
        <v>80</v>
      </c>
      <c r="D44">
        <v>80</v>
      </c>
      <c r="E44" s="9">
        <f t="shared" si="0"/>
        <v>1</v>
      </c>
      <c r="F44" s="6">
        <v>0</v>
      </c>
      <c r="I44" t="s">
        <v>20</v>
      </c>
    </row>
    <row r="45" spans="1:9" x14ac:dyDescent="0.3">
      <c r="A45" s="1">
        <v>45995</v>
      </c>
      <c r="B45" t="s">
        <v>12</v>
      </c>
      <c r="C45">
        <v>0</v>
      </c>
      <c r="D45">
        <v>0</v>
      </c>
      <c r="E45" s="9" t="e">
        <f t="shared" si="0"/>
        <v>#N/A</v>
      </c>
      <c r="F45" s="6">
        <v>0</v>
      </c>
    </row>
    <row r="46" spans="1:9" x14ac:dyDescent="0.3">
      <c r="A46" s="1">
        <v>45996</v>
      </c>
      <c r="B46" t="s">
        <v>10</v>
      </c>
      <c r="C46">
        <v>65</v>
      </c>
      <c r="D46">
        <v>65</v>
      </c>
      <c r="E46" s="9">
        <f t="shared" si="0"/>
        <v>1</v>
      </c>
      <c r="F46" s="6">
        <v>0</v>
      </c>
      <c r="I46" t="s">
        <v>20</v>
      </c>
    </row>
    <row r="47" spans="1:9" x14ac:dyDescent="0.3">
      <c r="A47" s="1">
        <v>45996</v>
      </c>
      <c r="B47" t="s">
        <v>12</v>
      </c>
      <c r="C47">
        <v>0</v>
      </c>
      <c r="D47">
        <v>0</v>
      </c>
      <c r="E47" s="9" t="e">
        <f t="shared" si="0"/>
        <v>#N/A</v>
      </c>
      <c r="F47" s="6">
        <v>0</v>
      </c>
    </row>
    <row r="48" spans="1:9" x14ac:dyDescent="0.3">
      <c r="A48" s="1">
        <v>45997</v>
      </c>
      <c r="B48" t="s">
        <v>10</v>
      </c>
      <c r="C48">
        <v>80</v>
      </c>
      <c r="D48">
        <v>80</v>
      </c>
      <c r="E48" s="9">
        <f t="shared" si="0"/>
        <v>1</v>
      </c>
      <c r="F48" s="6">
        <v>0</v>
      </c>
      <c r="I48" t="s">
        <v>20</v>
      </c>
    </row>
    <row r="49" spans="1:9" x14ac:dyDescent="0.3">
      <c r="A49" s="1">
        <v>45997</v>
      </c>
      <c r="B49" t="s">
        <v>12</v>
      </c>
      <c r="C49">
        <v>0</v>
      </c>
      <c r="D49">
        <v>0</v>
      </c>
      <c r="E49" s="9" t="e">
        <f t="shared" si="0"/>
        <v>#N/A</v>
      </c>
      <c r="F49" s="6">
        <v>0</v>
      </c>
    </row>
    <row r="50" spans="1:9" x14ac:dyDescent="0.3">
      <c r="A50" s="1">
        <v>45999</v>
      </c>
      <c r="B50" t="s">
        <v>10</v>
      </c>
      <c r="C50">
        <v>80</v>
      </c>
      <c r="D50">
        <v>80</v>
      </c>
      <c r="E50" s="9">
        <f t="shared" si="0"/>
        <v>1</v>
      </c>
      <c r="F50" s="6">
        <v>0</v>
      </c>
      <c r="I50" t="s">
        <v>21</v>
      </c>
    </row>
    <row r="51" spans="1:9" x14ac:dyDescent="0.3">
      <c r="A51" s="1">
        <v>45999</v>
      </c>
      <c r="B51" t="s">
        <v>12</v>
      </c>
      <c r="C51">
        <v>0</v>
      </c>
      <c r="D51">
        <v>0</v>
      </c>
      <c r="E51" s="9" t="e">
        <f t="shared" si="0"/>
        <v>#N/A</v>
      </c>
      <c r="F51" s="6">
        <v>0</v>
      </c>
    </row>
    <row r="52" spans="1:9" x14ac:dyDescent="0.3">
      <c r="A52" s="1">
        <v>46000</v>
      </c>
      <c r="B52" t="s">
        <v>10</v>
      </c>
      <c r="C52">
        <v>40</v>
      </c>
      <c r="D52">
        <v>40</v>
      </c>
      <c r="E52" s="9">
        <f t="shared" si="0"/>
        <v>1</v>
      </c>
      <c r="F52" s="6">
        <v>0</v>
      </c>
      <c r="I52" t="s">
        <v>21</v>
      </c>
    </row>
    <row r="53" spans="1:9" x14ac:dyDescent="0.3">
      <c r="A53" s="1">
        <v>46000</v>
      </c>
      <c r="B53" t="s">
        <v>12</v>
      </c>
      <c r="C53">
        <v>0</v>
      </c>
      <c r="D53">
        <v>0</v>
      </c>
      <c r="E53" s="9" t="e">
        <f t="shared" si="0"/>
        <v>#N/A</v>
      </c>
      <c r="F53" s="6">
        <v>0</v>
      </c>
    </row>
    <row r="54" spans="1:9" x14ac:dyDescent="0.3">
      <c r="A54" s="1">
        <v>46001</v>
      </c>
      <c r="B54" t="s">
        <v>10</v>
      </c>
      <c r="C54">
        <v>40</v>
      </c>
      <c r="D54">
        <v>40</v>
      </c>
      <c r="E54" s="9">
        <f t="shared" si="0"/>
        <v>1</v>
      </c>
      <c r="F54" s="6">
        <v>0</v>
      </c>
      <c r="I54" t="s">
        <v>21</v>
      </c>
    </row>
    <row r="55" spans="1:9" x14ac:dyDescent="0.3">
      <c r="A55" s="1">
        <v>46001</v>
      </c>
      <c r="B55" t="s">
        <v>12</v>
      </c>
      <c r="C55">
        <v>0</v>
      </c>
      <c r="D55">
        <v>0</v>
      </c>
      <c r="E55" s="9" t="e">
        <f t="shared" si="0"/>
        <v>#N/A</v>
      </c>
      <c r="F55" s="6">
        <v>0</v>
      </c>
    </row>
    <row r="56" spans="1:9" x14ac:dyDescent="0.3">
      <c r="A56" s="1">
        <v>46002</v>
      </c>
      <c r="B56" t="s">
        <v>10</v>
      </c>
      <c r="C56">
        <v>80</v>
      </c>
      <c r="D56">
        <v>80</v>
      </c>
      <c r="E56" s="9">
        <f t="shared" si="0"/>
        <v>1</v>
      </c>
      <c r="F56" s="6">
        <v>0</v>
      </c>
      <c r="I56" t="s">
        <v>21</v>
      </c>
    </row>
    <row r="57" spans="1:9" x14ac:dyDescent="0.3">
      <c r="A57" s="1">
        <v>46002</v>
      </c>
      <c r="B57" t="s">
        <v>12</v>
      </c>
      <c r="C57">
        <v>0</v>
      </c>
      <c r="D57">
        <v>0</v>
      </c>
      <c r="E57" s="9" t="e">
        <f t="shared" si="0"/>
        <v>#N/A</v>
      </c>
      <c r="F57" s="6">
        <v>0</v>
      </c>
    </row>
    <row r="58" spans="1:9" x14ac:dyDescent="0.3">
      <c r="A58" s="1">
        <v>46006</v>
      </c>
      <c r="B58" t="s">
        <v>10</v>
      </c>
      <c r="C58">
        <v>156</v>
      </c>
      <c r="D58">
        <v>156</v>
      </c>
      <c r="E58" s="9">
        <f t="shared" si="0"/>
        <v>1</v>
      </c>
      <c r="F58" s="6">
        <v>0</v>
      </c>
      <c r="I58" t="s">
        <v>21</v>
      </c>
    </row>
    <row r="59" spans="1:9" x14ac:dyDescent="0.3">
      <c r="A59" s="1">
        <v>46006</v>
      </c>
      <c r="B59" t="s">
        <v>12</v>
      </c>
      <c r="C59">
        <v>0</v>
      </c>
      <c r="D59">
        <v>0</v>
      </c>
      <c r="E59" s="9" t="e">
        <f t="shared" si="0"/>
        <v>#N/A</v>
      </c>
      <c r="F59" s="6">
        <v>0</v>
      </c>
    </row>
    <row r="60" spans="1:9" x14ac:dyDescent="0.3">
      <c r="A60" s="1">
        <v>46007</v>
      </c>
      <c r="B60" t="s">
        <v>10</v>
      </c>
      <c r="C60">
        <v>110</v>
      </c>
      <c r="D60">
        <v>110</v>
      </c>
      <c r="E60" s="9">
        <f t="shared" si="0"/>
        <v>1</v>
      </c>
      <c r="F60" s="6">
        <v>0</v>
      </c>
      <c r="I60" t="s">
        <v>21</v>
      </c>
    </row>
    <row r="61" spans="1:9" x14ac:dyDescent="0.3">
      <c r="A61" s="1">
        <v>46007</v>
      </c>
      <c r="B61" t="s">
        <v>12</v>
      </c>
      <c r="C61">
        <v>0</v>
      </c>
      <c r="D61">
        <v>0</v>
      </c>
      <c r="E61" s="9" t="e">
        <f t="shared" si="0"/>
        <v>#N/A</v>
      </c>
      <c r="F61" s="6">
        <v>0</v>
      </c>
    </row>
    <row r="62" spans="1:9" x14ac:dyDescent="0.3">
      <c r="A62" s="1">
        <v>46008</v>
      </c>
      <c r="B62" t="s">
        <v>10</v>
      </c>
      <c r="C62">
        <v>156</v>
      </c>
      <c r="D62">
        <v>156</v>
      </c>
      <c r="E62" s="9">
        <f t="shared" si="0"/>
        <v>1</v>
      </c>
      <c r="F62" s="6">
        <v>0</v>
      </c>
    </row>
    <row r="63" spans="1:9" x14ac:dyDescent="0.3">
      <c r="A63" s="1">
        <v>46008</v>
      </c>
      <c r="B63" t="s">
        <v>12</v>
      </c>
      <c r="C63">
        <v>0</v>
      </c>
      <c r="D63">
        <v>0</v>
      </c>
      <c r="E63" s="9" t="e">
        <f t="shared" si="0"/>
        <v>#N/A</v>
      </c>
      <c r="F63" s="6">
        <v>0</v>
      </c>
    </row>
    <row r="64" spans="1:9" x14ac:dyDescent="0.3">
      <c r="A64" s="1">
        <v>46009</v>
      </c>
      <c r="B64" t="s">
        <v>10</v>
      </c>
      <c r="C64">
        <v>160</v>
      </c>
      <c r="D64">
        <v>160</v>
      </c>
      <c r="E64" s="9">
        <f t="shared" si="0"/>
        <v>1</v>
      </c>
      <c r="F64" s="6">
        <v>0</v>
      </c>
      <c r="I64" t="s">
        <v>21</v>
      </c>
    </row>
    <row r="65" spans="1:9" x14ac:dyDescent="0.3">
      <c r="A65" s="1">
        <v>46009</v>
      </c>
      <c r="B65" t="s">
        <v>12</v>
      </c>
      <c r="C65">
        <v>0</v>
      </c>
      <c r="D65">
        <v>0</v>
      </c>
      <c r="E65" s="9" t="e">
        <f t="shared" si="0"/>
        <v>#N/A</v>
      </c>
      <c r="F65" s="6">
        <v>0</v>
      </c>
    </row>
    <row r="66" spans="1:9" x14ac:dyDescent="0.3">
      <c r="A66" s="1">
        <v>46010</v>
      </c>
      <c r="B66" t="s">
        <v>10</v>
      </c>
      <c r="C66">
        <v>160</v>
      </c>
      <c r="D66">
        <v>160</v>
      </c>
      <c r="E66" s="9">
        <f t="shared" ref="E66:E94" si="1">IFERROR(D66/C66, NA())</f>
        <v>1</v>
      </c>
      <c r="F66" s="6">
        <v>0</v>
      </c>
      <c r="I66" t="s">
        <v>21</v>
      </c>
    </row>
    <row r="67" spans="1:9" x14ac:dyDescent="0.3">
      <c r="A67" s="1">
        <v>46010</v>
      </c>
      <c r="B67" t="s">
        <v>12</v>
      </c>
      <c r="C67">
        <v>0</v>
      </c>
      <c r="D67">
        <v>0</v>
      </c>
      <c r="E67" s="9" t="e">
        <f t="shared" si="1"/>
        <v>#N/A</v>
      </c>
      <c r="F67" s="6">
        <v>0</v>
      </c>
    </row>
    <row r="68" spans="1:9" x14ac:dyDescent="0.3">
      <c r="A68" s="1">
        <v>46013</v>
      </c>
      <c r="B68" t="s">
        <v>10</v>
      </c>
      <c r="C68">
        <v>60</v>
      </c>
      <c r="D68">
        <v>60</v>
      </c>
      <c r="E68" s="9">
        <f t="shared" si="1"/>
        <v>1</v>
      </c>
      <c r="F68" s="6">
        <v>0</v>
      </c>
      <c r="I68" t="s">
        <v>22</v>
      </c>
    </row>
    <row r="69" spans="1:9" x14ac:dyDescent="0.3">
      <c r="A69" s="1">
        <v>46013</v>
      </c>
      <c r="B69" t="s">
        <v>12</v>
      </c>
      <c r="C69">
        <v>0</v>
      </c>
      <c r="D69">
        <v>0</v>
      </c>
      <c r="E69" s="9" t="e">
        <f t="shared" si="1"/>
        <v>#N/A</v>
      </c>
      <c r="F69" s="6">
        <v>0</v>
      </c>
    </row>
    <row r="70" spans="1:9" x14ac:dyDescent="0.3">
      <c r="A70" s="1">
        <v>46014</v>
      </c>
      <c r="B70" t="s">
        <v>10</v>
      </c>
      <c r="C70">
        <v>60</v>
      </c>
      <c r="D70">
        <v>60</v>
      </c>
      <c r="E70" s="9">
        <f t="shared" si="1"/>
        <v>1</v>
      </c>
      <c r="F70" s="6">
        <v>0</v>
      </c>
      <c r="I70" t="s">
        <v>22</v>
      </c>
    </row>
    <row r="71" spans="1:9" x14ac:dyDescent="0.3">
      <c r="A71" s="1">
        <v>46014</v>
      </c>
      <c r="B71" t="s">
        <v>12</v>
      </c>
      <c r="C71">
        <v>0</v>
      </c>
      <c r="D71">
        <v>0</v>
      </c>
      <c r="E71" s="9" t="e">
        <f t="shared" si="1"/>
        <v>#N/A</v>
      </c>
      <c r="F71" s="6">
        <v>0</v>
      </c>
    </row>
    <row r="72" spans="1:9" x14ac:dyDescent="0.3">
      <c r="A72" s="1">
        <v>46015</v>
      </c>
      <c r="B72" t="s">
        <v>10</v>
      </c>
      <c r="C72">
        <v>60</v>
      </c>
      <c r="D72">
        <v>60</v>
      </c>
      <c r="E72" s="9">
        <f t="shared" si="1"/>
        <v>1</v>
      </c>
      <c r="F72" s="6">
        <v>0</v>
      </c>
      <c r="I72" t="s">
        <v>22</v>
      </c>
    </row>
    <row r="73" spans="1:9" x14ac:dyDescent="0.3">
      <c r="A73" s="1">
        <v>46015</v>
      </c>
      <c r="B73" t="s">
        <v>12</v>
      </c>
      <c r="C73">
        <v>0</v>
      </c>
      <c r="D73">
        <v>0</v>
      </c>
      <c r="E73" s="9" t="e">
        <f t="shared" si="1"/>
        <v>#N/A</v>
      </c>
      <c r="F73" s="6">
        <v>0</v>
      </c>
    </row>
    <row r="74" spans="1:9" x14ac:dyDescent="0.3">
      <c r="A74" s="1">
        <v>46020</v>
      </c>
      <c r="B74" t="s">
        <v>10</v>
      </c>
      <c r="C74">
        <v>65</v>
      </c>
      <c r="D74">
        <v>65</v>
      </c>
      <c r="E74" s="9">
        <f t="shared" si="1"/>
        <v>1</v>
      </c>
      <c r="F74" s="6">
        <v>0</v>
      </c>
      <c r="I74" t="s">
        <v>22</v>
      </c>
    </row>
    <row r="75" spans="1:9" x14ac:dyDescent="0.3">
      <c r="A75" s="1">
        <v>46020</v>
      </c>
      <c r="B75" t="s">
        <v>12</v>
      </c>
      <c r="C75">
        <v>0</v>
      </c>
      <c r="D75">
        <v>0</v>
      </c>
      <c r="E75" s="9" t="e">
        <f t="shared" si="1"/>
        <v>#N/A</v>
      </c>
      <c r="F75" s="6">
        <v>0</v>
      </c>
    </row>
    <row r="76" spans="1:9" x14ac:dyDescent="0.3">
      <c r="A76" s="1">
        <v>46021</v>
      </c>
      <c r="B76" t="s">
        <v>10</v>
      </c>
      <c r="C76">
        <v>110</v>
      </c>
      <c r="D76">
        <v>110</v>
      </c>
      <c r="E76" s="9">
        <f t="shared" si="1"/>
        <v>1</v>
      </c>
      <c r="F76" s="6">
        <v>0</v>
      </c>
      <c r="I76" t="s">
        <v>22</v>
      </c>
    </row>
    <row r="77" spans="1:9" x14ac:dyDescent="0.3">
      <c r="A77" s="1">
        <v>46021</v>
      </c>
      <c r="B77" t="s">
        <v>12</v>
      </c>
      <c r="C77">
        <v>0</v>
      </c>
      <c r="D77">
        <v>0</v>
      </c>
      <c r="E77" s="9" t="e">
        <f t="shared" si="1"/>
        <v>#N/A</v>
      </c>
      <c r="F77" s="6">
        <v>0</v>
      </c>
    </row>
    <row r="78" spans="1:9" x14ac:dyDescent="0.3">
      <c r="A78" s="1">
        <v>46022</v>
      </c>
      <c r="B78" t="s">
        <v>10</v>
      </c>
      <c r="C78">
        <v>110</v>
      </c>
      <c r="D78">
        <v>110</v>
      </c>
      <c r="E78" s="9">
        <f t="shared" si="1"/>
        <v>1</v>
      </c>
      <c r="F78" s="6">
        <v>0</v>
      </c>
      <c r="I78" t="s">
        <v>22</v>
      </c>
    </row>
    <row r="79" spans="1:9" x14ac:dyDescent="0.3">
      <c r="A79" s="1">
        <v>46022</v>
      </c>
      <c r="B79" t="s">
        <v>12</v>
      </c>
      <c r="C79">
        <v>0</v>
      </c>
      <c r="D79">
        <v>0</v>
      </c>
      <c r="E79" s="9" t="e">
        <f t="shared" si="1"/>
        <v>#N/A</v>
      </c>
      <c r="F79" s="6">
        <v>0</v>
      </c>
    </row>
    <row r="80" spans="1:9" x14ac:dyDescent="0.3">
      <c r="A80" s="1">
        <v>46027</v>
      </c>
      <c r="B80" t="s">
        <v>10</v>
      </c>
      <c r="C80">
        <v>123</v>
      </c>
      <c r="D80">
        <v>120</v>
      </c>
      <c r="E80" s="9">
        <f t="shared" si="1"/>
        <v>0.97560975609756095</v>
      </c>
      <c r="F80" s="6">
        <v>0</v>
      </c>
      <c r="I80" t="s">
        <v>22</v>
      </c>
    </row>
    <row r="81" spans="1:9" x14ac:dyDescent="0.3">
      <c r="A81" s="1">
        <v>46027</v>
      </c>
      <c r="B81" t="s">
        <v>12</v>
      </c>
      <c r="C81">
        <v>0</v>
      </c>
      <c r="D81">
        <v>0</v>
      </c>
      <c r="E81" s="9" t="e">
        <f t="shared" si="1"/>
        <v>#N/A</v>
      </c>
      <c r="F81" s="6">
        <v>0</v>
      </c>
    </row>
    <row r="82" spans="1:9" x14ac:dyDescent="0.3">
      <c r="A82" s="1">
        <v>46028</v>
      </c>
      <c r="B82" t="s">
        <v>10</v>
      </c>
      <c r="C82">
        <v>80</v>
      </c>
      <c r="D82">
        <v>80</v>
      </c>
      <c r="E82" s="9">
        <f t="shared" si="1"/>
        <v>1</v>
      </c>
      <c r="F82" s="6">
        <v>0</v>
      </c>
      <c r="I82" t="s">
        <v>22</v>
      </c>
    </row>
    <row r="83" spans="1:9" x14ac:dyDescent="0.3">
      <c r="A83" s="1">
        <v>46028</v>
      </c>
      <c r="B83" t="s">
        <v>12</v>
      </c>
      <c r="C83">
        <v>0</v>
      </c>
      <c r="D83">
        <v>0</v>
      </c>
      <c r="E83" s="9" t="e">
        <f t="shared" si="1"/>
        <v>#N/A</v>
      </c>
      <c r="F83" s="6">
        <v>0</v>
      </c>
    </row>
    <row r="84" spans="1:9" x14ac:dyDescent="0.3">
      <c r="A84" s="1">
        <v>46029</v>
      </c>
      <c r="B84" t="s">
        <v>10</v>
      </c>
      <c r="C84">
        <v>199</v>
      </c>
      <c r="D84">
        <v>199</v>
      </c>
      <c r="E84" s="9">
        <f t="shared" si="1"/>
        <v>1</v>
      </c>
      <c r="F84" s="6">
        <v>0</v>
      </c>
      <c r="I84" t="s">
        <v>22</v>
      </c>
    </row>
    <row r="85" spans="1:9" x14ac:dyDescent="0.3">
      <c r="A85" s="1">
        <v>46029</v>
      </c>
      <c r="B85" t="s">
        <v>12</v>
      </c>
      <c r="C85">
        <v>0</v>
      </c>
      <c r="D85">
        <v>0</v>
      </c>
      <c r="E85" s="9" t="e">
        <f t="shared" si="1"/>
        <v>#N/A</v>
      </c>
      <c r="F85" s="6">
        <v>0</v>
      </c>
    </row>
    <row r="86" spans="1:9" x14ac:dyDescent="0.3">
      <c r="A86" s="1">
        <v>46030</v>
      </c>
      <c r="B86" t="s">
        <v>10</v>
      </c>
      <c r="C86">
        <v>100</v>
      </c>
      <c r="D86">
        <v>100</v>
      </c>
      <c r="E86" s="9">
        <f t="shared" si="1"/>
        <v>1</v>
      </c>
      <c r="F86" s="6">
        <v>0</v>
      </c>
      <c r="I86" t="s">
        <v>23</v>
      </c>
    </row>
    <row r="87" spans="1:9" x14ac:dyDescent="0.3">
      <c r="A87" s="1">
        <v>46030</v>
      </c>
      <c r="B87" t="s">
        <v>12</v>
      </c>
      <c r="D87">
        <v>0</v>
      </c>
      <c r="E87" s="9" t="e">
        <f t="shared" si="1"/>
        <v>#N/A</v>
      </c>
      <c r="F87" s="6">
        <v>0</v>
      </c>
    </row>
    <row r="88" spans="1:9" x14ac:dyDescent="0.3">
      <c r="A88" s="1">
        <v>46031</v>
      </c>
      <c r="B88" t="s">
        <v>10</v>
      </c>
      <c r="C88">
        <v>250</v>
      </c>
      <c r="D88">
        <v>250</v>
      </c>
      <c r="E88" s="9">
        <f t="shared" si="1"/>
        <v>1</v>
      </c>
      <c r="F88" s="6">
        <v>0</v>
      </c>
      <c r="I88" t="s">
        <v>24</v>
      </c>
    </row>
    <row r="89" spans="1:9" x14ac:dyDescent="0.3">
      <c r="A89" s="1">
        <v>46031</v>
      </c>
      <c r="B89" t="s">
        <v>12</v>
      </c>
      <c r="C89">
        <v>0</v>
      </c>
      <c r="D89">
        <v>0</v>
      </c>
      <c r="E89" s="9" t="e">
        <f t="shared" si="1"/>
        <v>#N/A</v>
      </c>
      <c r="F89" s="6">
        <v>0</v>
      </c>
    </row>
    <row r="90" spans="1:9" x14ac:dyDescent="0.3">
      <c r="A90" s="1">
        <v>46034</v>
      </c>
      <c r="B90" t="s">
        <v>10</v>
      </c>
      <c r="C90">
        <v>150</v>
      </c>
      <c r="D90">
        <v>150</v>
      </c>
      <c r="E90" s="9">
        <f t="shared" si="1"/>
        <v>1</v>
      </c>
      <c r="F90" s="6">
        <v>0</v>
      </c>
      <c r="I90" t="s">
        <v>25</v>
      </c>
    </row>
    <row r="91" spans="1:9" x14ac:dyDescent="0.3">
      <c r="A91" s="1">
        <v>46034</v>
      </c>
      <c r="B91" t="s">
        <v>12</v>
      </c>
      <c r="C91">
        <v>0</v>
      </c>
      <c r="E91" s="9" t="e">
        <f t="shared" si="1"/>
        <v>#N/A</v>
      </c>
      <c r="F91" s="6">
        <v>0</v>
      </c>
    </row>
    <row r="92" spans="1:9" x14ac:dyDescent="0.3">
      <c r="A92" s="1">
        <v>46035</v>
      </c>
      <c r="B92" t="s">
        <v>10</v>
      </c>
      <c r="C92">
        <v>198</v>
      </c>
      <c r="D92">
        <v>198</v>
      </c>
      <c r="E92" s="9">
        <f t="shared" si="1"/>
        <v>1</v>
      </c>
      <c r="F92" s="6">
        <v>0</v>
      </c>
      <c r="I92" t="s">
        <v>26</v>
      </c>
    </row>
    <row r="93" spans="1:9" x14ac:dyDescent="0.3">
      <c r="A93" s="1">
        <v>46035</v>
      </c>
      <c r="B93" t="s">
        <v>12</v>
      </c>
      <c r="C93">
        <v>0</v>
      </c>
      <c r="D93">
        <v>0</v>
      </c>
      <c r="E93" s="9" t="e">
        <f t="shared" si="1"/>
        <v>#N/A</v>
      </c>
      <c r="F93" s="6">
        <v>0</v>
      </c>
    </row>
    <row r="94" spans="1:9" x14ac:dyDescent="0.3">
      <c r="A94" s="1">
        <v>46036</v>
      </c>
      <c r="B94" t="s">
        <v>10</v>
      </c>
      <c r="C94">
        <v>170</v>
      </c>
      <c r="D94">
        <v>170</v>
      </c>
      <c r="E94" s="9">
        <f t="shared" si="1"/>
        <v>1</v>
      </c>
      <c r="F94" s="6">
        <v>0</v>
      </c>
      <c r="I94" t="s">
        <v>26</v>
      </c>
    </row>
    <row r="95" spans="1:9" x14ac:dyDescent="0.3">
      <c r="A95" s="1">
        <v>46036</v>
      </c>
      <c r="B95" t="s">
        <v>12</v>
      </c>
      <c r="C95">
        <v>0</v>
      </c>
      <c r="D95">
        <v>0</v>
      </c>
      <c r="E95" s="9" t="e">
        <f t="shared" ref="E95:E101" si="2">IFERROR(D95/C95, NA())</f>
        <v>#N/A</v>
      </c>
      <c r="F95" s="6">
        <v>0</v>
      </c>
    </row>
    <row r="96" spans="1:9" x14ac:dyDescent="0.3">
      <c r="A96" s="1">
        <v>46037</v>
      </c>
      <c r="B96" t="s">
        <v>10</v>
      </c>
      <c r="C96">
        <v>150</v>
      </c>
      <c r="D96">
        <v>150</v>
      </c>
      <c r="E96" s="9">
        <f t="shared" si="2"/>
        <v>1</v>
      </c>
      <c r="F96" s="6">
        <v>0</v>
      </c>
      <c r="I96" t="s">
        <v>26</v>
      </c>
    </row>
    <row r="97" spans="1:10" x14ac:dyDescent="0.3">
      <c r="A97" s="1">
        <v>46037</v>
      </c>
      <c r="B97" t="s">
        <v>12</v>
      </c>
      <c r="C97">
        <v>0</v>
      </c>
      <c r="D97">
        <v>0</v>
      </c>
      <c r="E97" s="9" t="e">
        <f t="shared" si="2"/>
        <v>#N/A</v>
      </c>
      <c r="F97" s="6">
        <v>0</v>
      </c>
    </row>
    <row r="98" spans="1:10" x14ac:dyDescent="0.3">
      <c r="A98" s="1">
        <v>46038</v>
      </c>
      <c r="B98" t="s">
        <v>10</v>
      </c>
      <c r="C98">
        <v>205</v>
      </c>
      <c r="D98">
        <v>205</v>
      </c>
      <c r="E98" s="9">
        <f t="shared" si="2"/>
        <v>1</v>
      </c>
      <c r="F98" s="6">
        <v>0</v>
      </c>
      <c r="I98" t="s">
        <v>26</v>
      </c>
    </row>
    <row r="99" spans="1:10" x14ac:dyDescent="0.3">
      <c r="A99" s="1">
        <v>46038</v>
      </c>
      <c r="B99" t="s">
        <v>12</v>
      </c>
      <c r="C99">
        <v>0</v>
      </c>
      <c r="D99">
        <v>0</v>
      </c>
      <c r="E99" s="9" t="e">
        <f t="shared" si="2"/>
        <v>#N/A</v>
      </c>
      <c r="F99" s="6">
        <v>0</v>
      </c>
    </row>
    <row r="100" spans="1:10" x14ac:dyDescent="0.3">
      <c r="A100" s="1">
        <v>46039</v>
      </c>
      <c r="B100" t="s">
        <v>10</v>
      </c>
      <c r="C100">
        <v>31</v>
      </c>
      <c r="D100">
        <v>31</v>
      </c>
      <c r="E100" s="9">
        <f t="shared" si="2"/>
        <v>1</v>
      </c>
      <c r="F100" s="6">
        <v>0</v>
      </c>
      <c r="I100" t="s">
        <v>26</v>
      </c>
    </row>
    <row r="101" spans="1:10" x14ac:dyDescent="0.3">
      <c r="A101" s="1">
        <v>46039</v>
      </c>
      <c r="B101" t="s">
        <v>12</v>
      </c>
      <c r="C101">
        <v>0</v>
      </c>
      <c r="D101">
        <v>0</v>
      </c>
      <c r="E101" s="9" t="e">
        <f t="shared" si="2"/>
        <v>#N/A</v>
      </c>
      <c r="F101" s="6">
        <v>0</v>
      </c>
    </row>
    <row r="102" spans="1:10" x14ac:dyDescent="0.3">
      <c r="A102" s="1">
        <v>46041</v>
      </c>
      <c r="B102" t="s">
        <v>10</v>
      </c>
      <c r="C102">
        <v>215</v>
      </c>
      <c r="D102">
        <v>215</v>
      </c>
      <c r="E102" s="9">
        <f>IFERROR(D102/C102, NA())</f>
        <v>1</v>
      </c>
      <c r="F102" s="6">
        <v>0</v>
      </c>
      <c r="I102" t="s">
        <v>26</v>
      </c>
    </row>
    <row r="103" spans="1:10" x14ac:dyDescent="0.3">
      <c r="A103" s="1">
        <v>46041</v>
      </c>
      <c r="B103" t="s">
        <v>12</v>
      </c>
      <c r="C103">
        <v>0</v>
      </c>
      <c r="D103">
        <v>0</v>
      </c>
      <c r="F103" s="6">
        <v>0</v>
      </c>
    </row>
    <row r="104" spans="1:10" x14ac:dyDescent="0.3">
      <c r="A104" s="1">
        <v>46042</v>
      </c>
      <c r="B104" t="s">
        <v>10</v>
      </c>
      <c r="C104">
        <v>285</v>
      </c>
      <c r="D104">
        <v>285</v>
      </c>
      <c r="E104" s="9">
        <f t="shared" ref="E104:E128" si="3">IFERROR(D104/C104, NA())</f>
        <v>1</v>
      </c>
      <c r="F104" s="6">
        <v>0</v>
      </c>
      <c r="I104" t="s">
        <v>26</v>
      </c>
    </row>
    <row r="105" spans="1:10" x14ac:dyDescent="0.3">
      <c r="A105" s="1">
        <v>46042</v>
      </c>
      <c r="B105" t="s">
        <v>12</v>
      </c>
      <c r="C105">
        <v>0</v>
      </c>
      <c r="D105">
        <v>0</v>
      </c>
      <c r="E105" s="9" t="e">
        <f t="shared" si="3"/>
        <v>#N/A</v>
      </c>
      <c r="F105" s="6">
        <v>0</v>
      </c>
      <c r="J105">
        <v>1</v>
      </c>
    </row>
    <row r="106" spans="1:10" x14ac:dyDescent="0.3">
      <c r="A106" s="1">
        <v>46043</v>
      </c>
      <c r="B106" t="s">
        <v>10</v>
      </c>
      <c r="C106">
        <v>295</v>
      </c>
      <c r="D106">
        <v>295</v>
      </c>
      <c r="E106" s="9">
        <f t="shared" si="3"/>
        <v>1</v>
      </c>
      <c r="F106" s="6">
        <v>0</v>
      </c>
      <c r="I106" t="s">
        <v>26</v>
      </c>
    </row>
    <row r="107" spans="1:10" x14ac:dyDescent="0.3">
      <c r="A107" s="1">
        <v>46043</v>
      </c>
      <c r="B107" t="s">
        <v>12</v>
      </c>
      <c r="C107">
        <v>0</v>
      </c>
      <c r="D107">
        <v>0</v>
      </c>
      <c r="E107" s="9" t="e">
        <f t="shared" si="3"/>
        <v>#N/A</v>
      </c>
      <c r="F107" s="6">
        <v>0</v>
      </c>
    </row>
    <row r="108" spans="1:10" x14ac:dyDescent="0.3">
      <c r="A108" s="1">
        <v>46044</v>
      </c>
      <c r="B108" t="s">
        <v>10</v>
      </c>
      <c r="C108">
        <v>300</v>
      </c>
      <c r="D108">
        <v>300</v>
      </c>
      <c r="E108" s="9">
        <f t="shared" si="3"/>
        <v>1</v>
      </c>
      <c r="F108" s="6">
        <v>0</v>
      </c>
      <c r="I108" t="s">
        <v>27</v>
      </c>
    </row>
    <row r="109" spans="1:10" x14ac:dyDescent="0.3">
      <c r="A109" s="1">
        <v>46044</v>
      </c>
      <c r="B109" t="s">
        <v>12</v>
      </c>
      <c r="C109">
        <v>0</v>
      </c>
      <c r="D109">
        <v>0</v>
      </c>
      <c r="E109" s="9" t="e">
        <f t="shared" si="3"/>
        <v>#N/A</v>
      </c>
      <c r="F109" s="6">
        <v>0</v>
      </c>
    </row>
    <row r="110" spans="1:10" x14ac:dyDescent="0.3">
      <c r="A110" s="1">
        <v>46045</v>
      </c>
      <c r="B110" t="s">
        <v>10</v>
      </c>
      <c r="C110">
        <v>250</v>
      </c>
      <c r="D110">
        <v>250</v>
      </c>
      <c r="E110" s="9">
        <f t="shared" si="3"/>
        <v>1</v>
      </c>
      <c r="F110" s="6">
        <v>0</v>
      </c>
      <c r="I110" t="s">
        <v>26</v>
      </c>
    </row>
    <row r="111" spans="1:10" x14ac:dyDescent="0.3">
      <c r="A111" s="1">
        <v>46045</v>
      </c>
      <c r="B111" t="s">
        <v>12</v>
      </c>
      <c r="C111">
        <v>0</v>
      </c>
      <c r="D111">
        <v>0</v>
      </c>
      <c r="E111" s="9" t="e">
        <f t="shared" si="3"/>
        <v>#N/A</v>
      </c>
      <c r="F111" s="6">
        <v>0</v>
      </c>
    </row>
    <row r="112" spans="1:10" x14ac:dyDescent="0.3">
      <c r="A112" s="1">
        <v>46048</v>
      </c>
      <c r="B112" t="s">
        <v>10</v>
      </c>
      <c r="C112">
        <v>305</v>
      </c>
      <c r="D112">
        <v>305</v>
      </c>
      <c r="E112" s="9">
        <f t="shared" si="3"/>
        <v>1</v>
      </c>
      <c r="F112" s="6">
        <v>0</v>
      </c>
      <c r="I112" t="s">
        <v>28</v>
      </c>
    </row>
    <row r="113" spans="1:10" x14ac:dyDescent="0.3">
      <c r="A113" s="1">
        <v>46048</v>
      </c>
      <c r="B113" t="s">
        <v>12</v>
      </c>
      <c r="C113">
        <v>0</v>
      </c>
      <c r="D113">
        <v>0</v>
      </c>
      <c r="E113" s="9" t="e">
        <f t="shared" si="3"/>
        <v>#N/A</v>
      </c>
      <c r="F113" s="6">
        <v>0</v>
      </c>
    </row>
    <row r="114" spans="1:10" x14ac:dyDescent="0.3">
      <c r="A114" s="1">
        <v>46049</v>
      </c>
      <c r="B114" t="s">
        <v>10</v>
      </c>
      <c r="C114">
        <v>300</v>
      </c>
      <c r="D114">
        <v>300</v>
      </c>
      <c r="E114" s="9">
        <f t="shared" si="3"/>
        <v>1</v>
      </c>
      <c r="F114" s="6">
        <v>0</v>
      </c>
      <c r="I114" t="s">
        <v>28</v>
      </c>
    </row>
    <row r="115" spans="1:10" x14ac:dyDescent="0.3">
      <c r="A115" s="1">
        <v>46049</v>
      </c>
      <c r="B115" t="s">
        <v>12</v>
      </c>
      <c r="C115">
        <v>0</v>
      </c>
      <c r="D115">
        <v>0</v>
      </c>
      <c r="E115" s="9" t="e">
        <f t="shared" si="3"/>
        <v>#N/A</v>
      </c>
      <c r="F115" s="6">
        <v>0</v>
      </c>
    </row>
    <row r="116" spans="1:10" x14ac:dyDescent="0.3">
      <c r="A116" s="1">
        <v>46050</v>
      </c>
      <c r="B116" t="s">
        <v>10</v>
      </c>
      <c r="C116">
        <v>295</v>
      </c>
      <c r="D116">
        <v>295</v>
      </c>
      <c r="E116" s="9">
        <f t="shared" si="3"/>
        <v>1</v>
      </c>
      <c r="F116" s="6">
        <v>0</v>
      </c>
      <c r="I116" t="s">
        <v>28</v>
      </c>
    </row>
    <row r="117" spans="1:10" x14ac:dyDescent="0.3">
      <c r="A117" s="1">
        <v>46050</v>
      </c>
      <c r="B117" t="s">
        <v>12</v>
      </c>
      <c r="C117">
        <v>0</v>
      </c>
      <c r="D117">
        <v>0</v>
      </c>
      <c r="E117" s="9" t="e">
        <f t="shared" si="3"/>
        <v>#N/A</v>
      </c>
      <c r="F117" s="6">
        <v>0</v>
      </c>
    </row>
    <row r="118" spans="1:10" x14ac:dyDescent="0.3">
      <c r="A118" s="1">
        <v>46051</v>
      </c>
      <c r="B118" t="s">
        <v>10</v>
      </c>
      <c r="C118">
        <v>298</v>
      </c>
      <c r="D118">
        <v>298</v>
      </c>
      <c r="E118" s="9">
        <f t="shared" si="3"/>
        <v>1</v>
      </c>
      <c r="F118" s="6">
        <v>0</v>
      </c>
      <c r="J118">
        <v>1</v>
      </c>
    </row>
    <row r="119" spans="1:10" x14ac:dyDescent="0.3">
      <c r="A119" s="1">
        <v>46051</v>
      </c>
      <c r="B119" t="s">
        <v>12</v>
      </c>
      <c r="C119">
        <v>0</v>
      </c>
      <c r="D119">
        <v>0</v>
      </c>
      <c r="E119" s="9" t="e">
        <f t="shared" si="3"/>
        <v>#N/A</v>
      </c>
      <c r="F119" s="6">
        <v>0</v>
      </c>
    </row>
    <row r="120" spans="1:10" x14ac:dyDescent="0.3">
      <c r="A120" s="1">
        <v>46052</v>
      </c>
      <c r="B120" t="s">
        <v>10</v>
      </c>
      <c r="C120">
        <v>300</v>
      </c>
      <c r="D120">
        <v>230</v>
      </c>
      <c r="E120" s="9">
        <f t="shared" si="3"/>
        <v>0.76666666666666672</v>
      </c>
      <c r="F120" s="6">
        <v>0</v>
      </c>
      <c r="I120" t="s">
        <v>29</v>
      </c>
    </row>
    <row r="121" spans="1:10" x14ac:dyDescent="0.3">
      <c r="A121" s="1">
        <v>46052</v>
      </c>
      <c r="B121" t="s">
        <v>12</v>
      </c>
      <c r="C121">
        <v>0</v>
      </c>
      <c r="D121">
        <v>0</v>
      </c>
      <c r="E121" s="9" t="e">
        <f t="shared" si="3"/>
        <v>#N/A</v>
      </c>
      <c r="F121" s="6">
        <v>0</v>
      </c>
    </row>
    <row r="122" spans="1:10" x14ac:dyDescent="0.3">
      <c r="A122" s="1">
        <v>46055</v>
      </c>
      <c r="B122" t="s">
        <v>10</v>
      </c>
      <c r="C122">
        <v>300</v>
      </c>
      <c r="D122">
        <v>320</v>
      </c>
      <c r="E122" s="9">
        <f t="shared" si="3"/>
        <v>1.0666666666666667</v>
      </c>
      <c r="F122" s="6">
        <v>0</v>
      </c>
      <c r="I122" t="s">
        <v>26</v>
      </c>
    </row>
    <row r="123" spans="1:10" x14ac:dyDescent="0.3">
      <c r="A123" s="1">
        <v>46055</v>
      </c>
      <c r="B123" t="s">
        <v>12</v>
      </c>
      <c r="C123">
        <v>0</v>
      </c>
      <c r="D123">
        <v>0</v>
      </c>
      <c r="E123" s="9" t="e">
        <f t="shared" si="3"/>
        <v>#N/A</v>
      </c>
      <c r="F123" s="6">
        <v>0</v>
      </c>
    </row>
    <row r="124" spans="1:10" x14ac:dyDescent="0.3">
      <c r="A124" s="1">
        <v>46056</v>
      </c>
      <c r="B124" t="s">
        <v>10</v>
      </c>
      <c r="C124">
        <v>300</v>
      </c>
      <c r="D124">
        <v>290</v>
      </c>
      <c r="E124" s="9">
        <f t="shared" si="3"/>
        <v>0.96666666666666667</v>
      </c>
      <c r="F124" s="6">
        <v>0</v>
      </c>
    </row>
    <row r="125" spans="1:10" x14ac:dyDescent="0.3">
      <c r="A125" s="1">
        <v>46056</v>
      </c>
      <c r="B125" t="s">
        <v>12</v>
      </c>
      <c r="C125">
        <v>0</v>
      </c>
      <c r="D125">
        <v>0</v>
      </c>
      <c r="E125" s="9" t="e">
        <f t="shared" si="3"/>
        <v>#N/A</v>
      </c>
      <c r="F125" s="6">
        <v>0</v>
      </c>
    </row>
    <row r="126" spans="1:10" x14ac:dyDescent="0.3">
      <c r="A126" s="1">
        <v>46057</v>
      </c>
      <c r="B126" t="s">
        <v>10</v>
      </c>
      <c r="C126">
        <v>300</v>
      </c>
      <c r="D126">
        <v>340</v>
      </c>
      <c r="E126" s="9">
        <f t="shared" si="3"/>
        <v>1.1333333333333333</v>
      </c>
      <c r="F126" s="6">
        <v>0</v>
      </c>
      <c r="I126" t="s">
        <v>28</v>
      </c>
    </row>
    <row r="127" spans="1:10" x14ac:dyDescent="0.3">
      <c r="A127" s="1">
        <v>46057</v>
      </c>
      <c r="B127" t="s">
        <v>12</v>
      </c>
      <c r="C127">
        <v>0</v>
      </c>
      <c r="D127">
        <v>0</v>
      </c>
      <c r="E127" s="9" t="e">
        <f t="shared" si="3"/>
        <v>#N/A</v>
      </c>
      <c r="F127" s="6">
        <v>0</v>
      </c>
    </row>
    <row r="128" spans="1:10" x14ac:dyDescent="0.3">
      <c r="A128" s="1">
        <v>46058</v>
      </c>
      <c r="B128" t="s">
        <v>10</v>
      </c>
      <c r="C128">
        <v>300</v>
      </c>
      <c r="D128">
        <v>200</v>
      </c>
      <c r="E128" s="9">
        <f t="shared" si="3"/>
        <v>0.66666666666666663</v>
      </c>
      <c r="F128" s="6">
        <v>0</v>
      </c>
    </row>
    <row r="129" spans="1:9" x14ac:dyDescent="0.3">
      <c r="A129" s="1">
        <v>46058</v>
      </c>
      <c r="B129" t="s">
        <v>12</v>
      </c>
      <c r="C129">
        <v>0</v>
      </c>
      <c r="D129">
        <v>0</v>
      </c>
      <c r="E129" s="9" t="e">
        <f t="shared" ref="E129:E140" si="4">IFERROR(D129/C129, NA())</f>
        <v>#N/A</v>
      </c>
      <c r="F129" s="6">
        <v>0</v>
      </c>
    </row>
    <row r="130" spans="1:9" x14ac:dyDescent="0.3">
      <c r="A130" s="1">
        <v>46059</v>
      </c>
      <c r="B130" t="s">
        <v>10</v>
      </c>
      <c r="C130">
        <v>300</v>
      </c>
      <c r="D130">
        <v>215</v>
      </c>
      <c r="E130" s="9">
        <f t="shared" si="4"/>
        <v>0.71666666666666667</v>
      </c>
      <c r="F130" s="6">
        <v>0</v>
      </c>
    </row>
    <row r="131" spans="1:9" x14ac:dyDescent="0.3">
      <c r="A131" s="1">
        <v>46059</v>
      </c>
      <c r="B131" t="s">
        <v>12</v>
      </c>
      <c r="C131">
        <v>0</v>
      </c>
      <c r="D131">
        <v>0</v>
      </c>
      <c r="E131" s="9" t="e">
        <f t="shared" si="4"/>
        <v>#N/A</v>
      </c>
      <c r="F131" s="6">
        <v>0</v>
      </c>
    </row>
    <row r="132" spans="1:9" x14ac:dyDescent="0.3">
      <c r="A132" s="1">
        <v>46062</v>
      </c>
      <c r="B132" t="s">
        <v>10</v>
      </c>
      <c r="C132">
        <v>300</v>
      </c>
      <c r="D132">
        <v>158</v>
      </c>
      <c r="E132" s="9">
        <f t="shared" si="4"/>
        <v>0.52666666666666662</v>
      </c>
      <c r="F132" s="6">
        <v>0</v>
      </c>
    </row>
    <row r="133" spans="1:9" x14ac:dyDescent="0.3">
      <c r="A133" s="1">
        <v>46062</v>
      </c>
      <c r="B133" t="s">
        <v>12</v>
      </c>
      <c r="C133">
        <v>0</v>
      </c>
      <c r="D133">
        <v>0</v>
      </c>
      <c r="E133" s="9" t="e">
        <f t="shared" si="4"/>
        <v>#N/A</v>
      </c>
      <c r="F133" s="6">
        <v>0</v>
      </c>
    </row>
    <row r="134" spans="1:9" x14ac:dyDescent="0.3">
      <c r="A134" s="1">
        <v>46063</v>
      </c>
      <c r="B134" t="s">
        <v>10</v>
      </c>
      <c r="E134" s="9" t="e">
        <f t="shared" si="4"/>
        <v>#N/A</v>
      </c>
      <c r="F134" s="6">
        <v>0</v>
      </c>
    </row>
    <row r="135" spans="1:9" x14ac:dyDescent="0.3">
      <c r="A135" s="1">
        <v>46063</v>
      </c>
      <c r="B135" t="s">
        <v>12</v>
      </c>
      <c r="E135" s="9" t="e">
        <f t="shared" si="4"/>
        <v>#N/A</v>
      </c>
      <c r="F135" s="6">
        <v>0</v>
      </c>
    </row>
    <row r="136" spans="1:9" x14ac:dyDescent="0.3">
      <c r="A136" s="1">
        <v>46064</v>
      </c>
      <c r="B136" t="s">
        <v>10</v>
      </c>
      <c r="C136">
        <v>300</v>
      </c>
      <c r="D136">
        <v>60</v>
      </c>
      <c r="E136" s="9">
        <f t="shared" si="4"/>
        <v>0.2</v>
      </c>
      <c r="F136" s="6">
        <v>0</v>
      </c>
    </row>
    <row r="137" spans="1:9" x14ac:dyDescent="0.3">
      <c r="A137" s="1">
        <v>46064</v>
      </c>
      <c r="B137" t="s">
        <v>12</v>
      </c>
      <c r="C137">
        <v>300</v>
      </c>
      <c r="D137">
        <v>66</v>
      </c>
      <c r="E137" s="9">
        <f t="shared" si="4"/>
        <v>0.22</v>
      </c>
      <c r="F137" s="6">
        <v>0</v>
      </c>
    </row>
    <row r="138" spans="1:9" x14ac:dyDescent="0.3">
      <c r="A138" s="1">
        <v>46065</v>
      </c>
      <c r="B138" t="s">
        <v>10</v>
      </c>
      <c r="C138">
        <v>211</v>
      </c>
      <c r="D138">
        <v>211</v>
      </c>
      <c r="E138" s="9">
        <f t="shared" si="4"/>
        <v>1</v>
      </c>
      <c r="F138" s="6">
        <v>0</v>
      </c>
      <c r="I138" t="s">
        <v>30</v>
      </c>
    </row>
    <row r="139" spans="1:9" x14ac:dyDescent="0.3">
      <c r="A139" s="1">
        <v>46065</v>
      </c>
      <c r="B139" t="s">
        <v>12</v>
      </c>
      <c r="C139">
        <v>0</v>
      </c>
      <c r="D139">
        <v>0</v>
      </c>
      <c r="E139" s="9" t="e">
        <f t="shared" si="4"/>
        <v>#N/A</v>
      </c>
      <c r="F139" s="6">
        <v>0</v>
      </c>
    </row>
    <row r="140" spans="1:9" x14ac:dyDescent="0.3">
      <c r="A140" s="1">
        <v>46066</v>
      </c>
      <c r="B140" t="s">
        <v>10</v>
      </c>
      <c r="C140">
        <v>300</v>
      </c>
      <c r="D140">
        <v>370</v>
      </c>
      <c r="E140" s="9">
        <f t="shared" si="4"/>
        <v>1.2333333333333334</v>
      </c>
      <c r="F140" s="6">
        <v>0</v>
      </c>
    </row>
    <row r="141" spans="1:9" x14ac:dyDescent="0.3">
      <c r="A141" s="1">
        <v>46066</v>
      </c>
      <c r="B141" t="s">
        <v>12</v>
      </c>
      <c r="E141" s="9" t="e">
        <f t="shared" ref="E141:E157" si="5">IFERROR(D141/C141, NA())</f>
        <v>#N/A</v>
      </c>
      <c r="F141" s="6">
        <v>0</v>
      </c>
    </row>
    <row r="142" spans="1:9" x14ac:dyDescent="0.3">
      <c r="A142" s="1">
        <v>46069</v>
      </c>
      <c r="B142" t="s">
        <v>10</v>
      </c>
      <c r="C142">
        <v>0</v>
      </c>
      <c r="D142">
        <v>0</v>
      </c>
      <c r="E142" s="9" t="e">
        <f t="shared" si="5"/>
        <v>#N/A</v>
      </c>
      <c r="F142" s="6">
        <v>0</v>
      </c>
    </row>
    <row r="143" spans="1:9" x14ac:dyDescent="0.3">
      <c r="A143" s="1">
        <v>46069</v>
      </c>
      <c r="B143" t="s">
        <v>12</v>
      </c>
      <c r="C143">
        <v>0</v>
      </c>
      <c r="D143">
        <v>0</v>
      </c>
      <c r="E143" s="9" t="e">
        <f t="shared" si="5"/>
        <v>#N/A</v>
      </c>
      <c r="F143" s="6">
        <v>0</v>
      </c>
    </row>
    <row r="144" spans="1:9" x14ac:dyDescent="0.3">
      <c r="A144" s="1">
        <v>46070</v>
      </c>
      <c r="B144" t="s">
        <v>10</v>
      </c>
      <c r="C144">
        <v>0</v>
      </c>
      <c r="D144">
        <v>0</v>
      </c>
      <c r="E144" s="9" t="e">
        <f t="shared" si="5"/>
        <v>#N/A</v>
      </c>
      <c r="F144" s="6">
        <v>0</v>
      </c>
    </row>
    <row r="145" spans="1:9" x14ac:dyDescent="0.3">
      <c r="A145" s="1">
        <v>46070</v>
      </c>
      <c r="B145" t="s">
        <v>12</v>
      </c>
      <c r="E145" s="9" t="e">
        <f t="shared" si="5"/>
        <v>#N/A</v>
      </c>
      <c r="F145" s="6">
        <v>0</v>
      </c>
    </row>
    <row r="146" spans="1:9" x14ac:dyDescent="0.3">
      <c r="A146" s="1">
        <v>46071</v>
      </c>
      <c r="B146" t="s">
        <v>10</v>
      </c>
      <c r="C146">
        <v>350</v>
      </c>
      <c r="D146">
        <v>280</v>
      </c>
      <c r="E146" s="9">
        <f t="shared" si="5"/>
        <v>0.8</v>
      </c>
      <c r="F146" s="6">
        <v>0</v>
      </c>
      <c r="I146" t="s">
        <v>30</v>
      </c>
    </row>
    <row r="147" spans="1:9" x14ac:dyDescent="0.3">
      <c r="A147" s="1">
        <v>46071</v>
      </c>
      <c r="B147" t="s">
        <v>12</v>
      </c>
      <c r="C147">
        <v>1510</v>
      </c>
      <c r="D147">
        <v>1510</v>
      </c>
      <c r="E147" s="9">
        <f t="shared" si="5"/>
        <v>1</v>
      </c>
      <c r="F147" s="6">
        <v>0</v>
      </c>
    </row>
    <row r="148" spans="1:9" x14ac:dyDescent="0.3">
      <c r="A148" s="1">
        <v>46072</v>
      </c>
      <c r="B148" t="s">
        <v>10</v>
      </c>
      <c r="C148">
        <v>350</v>
      </c>
      <c r="D148">
        <v>350</v>
      </c>
      <c r="E148" s="9">
        <f t="shared" si="5"/>
        <v>1</v>
      </c>
      <c r="F148" s="6">
        <v>0</v>
      </c>
    </row>
    <row r="149" spans="1:9" x14ac:dyDescent="0.3">
      <c r="A149" s="1">
        <v>46072</v>
      </c>
      <c r="B149" t="s">
        <v>12</v>
      </c>
      <c r="C149">
        <v>0</v>
      </c>
      <c r="D149">
        <v>0</v>
      </c>
      <c r="E149" s="9" t="e">
        <f t="shared" si="5"/>
        <v>#N/A</v>
      </c>
      <c r="F149" s="6">
        <v>0</v>
      </c>
    </row>
    <row r="150" spans="1:9" ht="57.6" x14ac:dyDescent="0.3">
      <c r="A150" s="1">
        <v>46076</v>
      </c>
      <c r="B150" t="s">
        <v>10</v>
      </c>
      <c r="C150">
        <v>300</v>
      </c>
      <c r="D150">
        <v>300</v>
      </c>
      <c r="E150" s="9">
        <f t="shared" si="5"/>
        <v>1</v>
      </c>
      <c r="F150" s="6">
        <v>0</v>
      </c>
      <c r="H150" s="49">
        <v>7</v>
      </c>
      <c r="I150" s="76" t="s">
        <v>31</v>
      </c>
    </row>
    <row r="151" spans="1:9" x14ac:dyDescent="0.3">
      <c r="A151" s="1">
        <v>46076</v>
      </c>
      <c r="B151" t="s">
        <v>12</v>
      </c>
      <c r="C151">
        <v>0</v>
      </c>
      <c r="D151">
        <v>0</v>
      </c>
      <c r="E151" s="9" t="e">
        <f t="shared" si="5"/>
        <v>#N/A</v>
      </c>
      <c r="F151" s="6">
        <v>0</v>
      </c>
      <c r="I151" s="76"/>
    </row>
    <row r="152" spans="1:9" ht="72" x14ac:dyDescent="0.3">
      <c r="A152" s="1">
        <v>46077</v>
      </c>
      <c r="B152" t="s">
        <v>10</v>
      </c>
      <c r="C152">
        <v>234</v>
      </c>
      <c r="D152">
        <v>234</v>
      </c>
      <c r="E152" s="9">
        <f t="shared" si="5"/>
        <v>1</v>
      </c>
      <c r="F152" s="6">
        <v>0</v>
      </c>
      <c r="H152" s="49">
        <v>4</v>
      </c>
      <c r="I152" s="76" t="s">
        <v>32</v>
      </c>
    </row>
    <row r="153" spans="1:9" x14ac:dyDescent="0.3">
      <c r="A153" s="1">
        <v>46077</v>
      </c>
      <c r="B153" t="s">
        <v>12</v>
      </c>
      <c r="E153" s="9" t="e">
        <f t="shared" si="5"/>
        <v>#N/A</v>
      </c>
      <c r="F153" s="6">
        <v>0</v>
      </c>
      <c r="G153" s="4">
        <v>0.95</v>
      </c>
    </row>
    <row r="154" spans="1:9" ht="100.8" x14ac:dyDescent="0.3">
      <c r="A154" s="1">
        <v>46078</v>
      </c>
      <c r="B154" t="s">
        <v>10</v>
      </c>
      <c r="C154">
        <v>280</v>
      </c>
      <c r="D154">
        <v>280</v>
      </c>
      <c r="E154" s="9">
        <f t="shared" si="5"/>
        <v>1</v>
      </c>
      <c r="F154" s="6">
        <v>0</v>
      </c>
      <c r="H154" s="49">
        <v>5</v>
      </c>
      <c r="I154" s="76" t="s">
        <v>33</v>
      </c>
    </row>
    <row r="155" spans="1:9" x14ac:dyDescent="0.3">
      <c r="A155" s="1">
        <v>46078</v>
      </c>
      <c r="B155" t="s">
        <v>12</v>
      </c>
      <c r="D155">
        <v>0</v>
      </c>
      <c r="E155" s="9" t="e">
        <f t="shared" si="5"/>
        <v>#N/A</v>
      </c>
      <c r="F155" s="6">
        <v>0</v>
      </c>
    </row>
    <row r="156" spans="1:9" ht="57.6" x14ac:dyDescent="0.3">
      <c r="A156" s="1">
        <v>46079</v>
      </c>
      <c r="B156" t="s">
        <v>10</v>
      </c>
      <c r="C156">
        <v>750</v>
      </c>
      <c r="D156">
        <v>750</v>
      </c>
      <c r="E156" s="9">
        <f t="shared" si="5"/>
        <v>1</v>
      </c>
      <c r="F156" s="6">
        <v>0</v>
      </c>
      <c r="H156" s="49">
        <v>3</v>
      </c>
      <c r="I156" s="76" t="s">
        <v>34</v>
      </c>
    </row>
    <row r="157" spans="1:9" x14ac:dyDescent="0.3">
      <c r="A157" s="1">
        <v>46079</v>
      </c>
      <c r="B157" t="s">
        <v>12</v>
      </c>
      <c r="C157">
        <v>0</v>
      </c>
      <c r="D157">
        <v>0</v>
      </c>
      <c r="E157" s="9" t="e">
        <f t="shared" si="5"/>
        <v>#N/A</v>
      </c>
      <c r="F157" s="6">
        <v>0</v>
      </c>
    </row>
    <row r="158" spans="1:9" ht="57.6" x14ac:dyDescent="0.3">
      <c r="A158" s="1">
        <v>46083</v>
      </c>
      <c r="B158" t="s">
        <v>10</v>
      </c>
      <c r="C158">
        <v>360</v>
      </c>
      <c r="D158">
        <v>360</v>
      </c>
      <c r="E158" s="9">
        <f t="shared" ref="E158:E178" si="6">IFERROR(D158/C158, NA())</f>
        <v>1</v>
      </c>
      <c r="F158" s="6">
        <v>0</v>
      </c>
      <c r="H158" s="49">
        <v>6</v>
      </c>
      <c r="I158" s="76" t="s">
        <v>35</v>
      </c>
    </row>
    <row r="159" spans="1:9" x14ac:dyDescent="0.3">
      <c r="A159" s="1">
        <v>46083</v>
      </c>
      <c r="B159" t="s">
        <v>12</v>
      </c>
      <c r="C159">
        <v>0</v>
      </c>
      <c r="D159">
        <v>0</v>
      </c>
      <c r="E159" s="9" t="e">
        <f t="shared" si="6"/>
        <v>#N/A</v>
      </c>
      <c r="F159" s="6">
        <v>0</v>
      </c>
    </row>
    <row r="160" spans="1:9" x14ac:dyDescent="0.3">
      <c r="A160" s="1">
        <v>46084</v>
      </c>
      <c r="E160" s="9" t="e">
        <f t="shared" si="6"/>
        <v>#N/A</v>
      </c>
      <c r="F160" s="6">
        <v>0</v>
      </c>
    </row>
    <row r="161" spans="1:9" x14ac:dyDescent="0.3">
      <c r="A161" s="1">
        <v>46084</v>
      </c>
      <c r="E161" s="9" t="e">
        <f t="shared" si="6"/>
        <v>#N/A</v>
      </c>
      <c r="F161" s="6">
        <v>0</v>
      </c>
    </row>
    <row r="162" spans="1:9" x14ac:dyDescent="0.3">
      <c r="A162" s="1">
        <v>46085</v>
      </c>
      <c r="B162" t="s">
        <v>10</v>
      </c>
      <c r="C162">
        <v>0</v>
      </c>
      <c r="D162">
        <v>0</v>
      </c>
      <c r="E162" s="9" t="e">
        <f t="shared" si="6"/>
        <v>#N/A</v>
      </c>
      <c r="F162" s="6">
        <v>0</v>
      </c>
    </row>
    <row r="163" spans="1:9" ht="28.8" x14ac:dyDescent="0.3">
      <c r="A163" s="1">
        <v>46085</v>
      </c>
      <c r="B163" t="s">
        <v>12</v>
      </c>
      <c r="C163">
        <v>290</v>
      </c>
      <c r="D163">
        <v>290</v>
      </c>
      <c r="E163" s="9">
        <f t="shared" si="6"/>
        <v>1</v>
      </c>
      <c r="F163" s="6">
        <v>200</v>
      </c>
      <c r="G163" s="4">
        <v>1</v>
      </c>
      <c r="H163" s="49">
        <v>1</v>
      </c>
      <c r="I163" s="76" t="s">
        <v>36</v>
      </c>
    </row>
    <row r="164" spans="1:9" x14ac:dyDescent="0.3">
      <c r="A164" s="1">
        <v>46090</v>
      </c>
      <c r="B164" t="s">
        <v>10</v>
      </c>
      <c r="C164">
        <v>307</v>
      </c>
      <c r="D164">
        <v>307</v>
      </c>
      <c r="E164" s="9">
        <f t="shared" si="6"/>
        <v>1</v>
      </c>
      <c r="F164" s="6">
        <v>0</v>
      </c>
    </row>
    <row r="165" spans="1:9" x14ac:dyDescent="0.3">
      <c r="A165" s="1">
        <v>46090</v>
      </c>
      <c r="B165" t="s">
        <v>12</v>
      </c>
      <c r="C165">
        <v>0</v>
      </c>
      <c r="D165">
        <v>0</v>
      </c>
      <c r="E165" s="9" t="e">
        <f t="shared" si="6"/>
        <v>#N/A</v>
      </c>
      <c r="F165" s="6">
        <v>0</v>
      </c>
      <c r="G165" s="4">
        <v>0.95</v>
      </c>
      <c r="H165" s="80"/>
    </row>
    <row r="166" spans="1:9" x14ac:dyDescent="0.3">
      <c r="E166" s="9" t="e">
        <f t="shared" si="6"/>
        <v>#N/A</v>
      </c>
      <c r="F166" s="6">
        <v>0</v>
      </c>
      <c r="H166" s="80"/>
    </row>
    <row r="167" spans="1:9" x14ac:dyDescent="0.3">
      <c r="E167" s="9" t="e">
        <f t="shared" si="6"/>
        <v>#N/A</v>
      </c>
      <c r="F167" s="6">
        <v>0</v>
      </c>
      <c r="H167" s="19"/>
    </row>
    <row r="168" spans="1:9" x14ac:dyDescent="0.3">
      <c r="E168" s="9" t="e">
        <f t="shared" si="6"/>
        <v>#N/A</v>
      </c>
      <c r="F168" s="6">
        <v>0</v>
      </c>
    </row>
    <row r="169" spans="1:9" x14ac:dyDescent="0.3">
      <c r="E169" s="9" t="e">
        <f t="shared" si="6"/>
        <v>#N/A</v>
      </c>
      <c r="F169" s="6">
        <v>0</v>
      </c>
    </row>
    <row r="170" spans="1:9" x14ac:dyDescent="0.3">
      <c r="E170" s="9" t="e">
        <f t="shared" si="6"/>
        <v>#N/A</v>
      </c>
      <c r="F170" s="6">
        <v>0</v>
      </c>
    </row>
    <row r="171" spans="1:9" x14ac:dyDescent="0.3">
      <c r="E171" s="9" t="e">
        <f t="shared" si="6"/>
        <v>#N/A</v>
      </c>
      <c r="F171" s="6">
        <v>0</v>
      </c>
    </row>
    <row r="172" spans="1:9" x14ac:dyDescent="0.3">
      <c r="E172" s="9" t="e">
        <f t="shared" si="6"/>
        <v>#N/A</v>
      </c>
      <c r="F172" s="6">
        <v>0</v>
      </c>
    </row>
    <row r="173" spans="1:9" x14ac:dyDescent="0.3">
      <c r="E173" s="9" t="e">
        <f t="shared" si="6"/>
        <v>#N/A</v>
      </c>
      <c r="F173" s="6">
        <v>0</v>
      </c>
    </row>
    <row r="174" spans="1:9" x14ac:dyDescent="0.3">
      <c r="E174" s="9" t="e">
        <f t="shared" si="6"/>
        <v>#N/A</v>
      </c>
      <c r="F174" s="6">
        <v>0</v>
      </c>
    </row>
    <row r="175" spans="1:9" x14ac:dyDescent="0.3">
      <c r="E175" s="9" t="e">
        <f t="shared" si="6"/>
        <v>#N/A</v>
      </c>
      <c r="F175" s="6">
        <v>0</v>
      </c>
    </row>
    <row r="176" spans="1:9" x14ac:dyDescent="0.3">
      <c r="E176" s="9" t="e">
        <f t="shared" si="6"/>
        <v>#N/A</v>
      </c>
      <c r="F176" s="6">
        <v>0</v>
      </c>
    </row>
    <row r="177" spans="5:6" x14ac:dyDescent="0.3">
      <c r="E177" s="9" t="e">
        <f t="shared" si="6"/>
        <v>#N/A</v>
      </c>
      <c r="F177" s="6">
        <v>0</v>
      </c>
    </row>
    <row r="178" spans="5:6" x14ac:dyDescent="0.3">
      <c r="E178" s="9" t="e">
        <f t="shared" si="6"/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1584-237A-4E1E-B25D-7714DA78D668}">
  <dimension ref="A1:M1048575"/>
  <sheetViews>
    <sheetView workbookViewId="0">
      <pane xSplit="2" ySplit="1" topLeftCell="C408" activePane="bottomRight" state="frozen"/>
      <selection pane="topRight" activeCell="D1" sqref="D1"/>
      <selection pane="bottomLeft" activeCell="A2" sqref="A2"/>
      <selection pane="bottomRight" activeCell="L441" sqref="L441"/>
    </sheetView>
  </sheetViews>
  <sheetFormatPr defaultRowHeight="14.4" x14ac:dyDescent="0.3"/>
  <cols>
    <col min="1" max="1" width="11.5546875" bestFit="1" customWidth="1"/>
    <col min="2" max="2" width="8" bestFit="1" customWidth="1"/>
    <col min="3" max="3" width="8.6640625" style="19" bestFit="1" customWidth="1"/>
    <col min="4" max="4" width="15.6640625" bestFit="1" customWidth="1"/>
    <col min="5" max="5" width="13.33203125" bestFit="1" customWidth="1"/>
    <col min="6" max="6" width="10.6640625" style="19" bestFit="1" customWidth="1"/>
    <col min="7" max="7" width="10.6640625" style="49" customWidth="1"/>
    <col min="8" max="8" width="7.6640625" bestFit="1" customWidth="1"/>
    <col min="9" max="9" width="8.5546875" customWidth="1"/>
    <col min="10" max="10" width="10" bestFit="1" customWidth="1"/>
    <col min="11" max="11" width="52.44140625" bestFit="1" customWidth="1"/>
    <col min="12" max="12" width="73.88671875" bestFit="1" customWidth="1"/>
    <col min="13" max="13" width="22.44140625" bestFit="1" customWidth="1"/>
    <col min="14" max="14" width="19.44140625" bestFit="1" customWidth="1"/>
  </cols>
  <sheetData>
    <row r="1" spans="1:13" x14ac:dyDescent="0.3">
      <c r="A1" s="2" t="s">
        <v>0</v>
      </c>
      <c r="B1" s="2" t="s">
        <v>37</v>
      </c>
      <c r="C1" s="18" t="s">
        <v>38</v>
      </c>
      <c r="D1" s="2" t="s">
        <v>39</v>
      </c>
      <c r="E1" s="2" t="s">
        <v>40</v>
      </c>
      <c r="F1" s="18" t="s">
        <v>41</v>
      </c>
      <c r="G1" s="48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9</v>
      </c>
    </row>
    <row r="2" spans="1:13" x14ac:dyDescent="0.3">
      <c r="A2" s="1">
        <v>45971</v>
      </c>
      <c r="B2" t="s">
        <v>48</v>
      </c>
      <c r="C2" s="19">
        <v>0</v>
      </c>
      <c r="D2">
        <v>80</v>
      </c>
      <c r="E2">
        <v>0</v>
      </c>
      <c r="F2" s="19">
        <f>IFERROR(E2/D2, NA())</f>
        <v>0</v>
      </c>
      <c r="G2" s="49">
        <v>0</v>
      </c>
      <c r="L2" t="s">
        <v>49</v>
      </c>
    </row>
    <row r="3" spans="1:13" x14ac:dyDescent="0.3">
      <c r="A3" s="1">
        <v>45971</v>
      </c>
      <c r="B3" t="s">
        <v>50</v>
      </c>
      <c r="C3" s="19">
        <v>0</v>
      </c>
      <c r="D3">
        <v>0</v>
      </c>
      <c r="E3">
        <v>0</v>
      </c>
      <c r="F3" s="19" t="e">
        <f t="shared" ref="F3:F66" si="0">IFERROR(E3/D3, NA())</f>
        <v>#N/A</v>
      </c>
      <c r="G3" s="49" t="e">
        <v>#N/A</v>
      </c>
    </row>
    <row r="4" spans="1:13" x14ac:dyDescent="0.3">
      <c r="A4" s="1">
        <v>45971</v>
      </c>
      <c r="B4" t="s">
        <v>51</v>
      </c>
      <c r="C4" s="19">
        <v>0</v>
      </c>
      <c r="D4">
        <v>100</v>
      </c>
      <c r="E4">
        <v>0</v>
      </c>
      <c r="F4" s="19">
        <f t="shared" si="0"/>
        <v>0</v>
      </c>
      <c r="G4" s="49">
        <v>0</v>
      </c>
    </row>
    <row r="5" spans="1:13" x14ac:dyDescent="0.3">
      <c r="A5" s="1">
        <v>45971</v>
      </c>
      <c r="B5" t="s">
        <v>52</v>
      </c>
      <c r="C5" s="19">
        <v>0.55000000000000004</v>
      </c>
      <c r="D5">
        <v>95</v>
      </c>
      <c r="E5">
        <v>0</v>
      </c>
      <c r="F5" s="19">
        <f t="shared" si="0"/>
        <v>0</v>
      </c>
      <c r="G5" s="49">
        <v>0</v>
      </c>
    </row>
    <row r="6" spans="1:13" x14ac:dyDescent="0.3">
      <c r="A6" s="1">
        <v>45971</v>
      </c>
      <c r="B6" t="s">
        <v>53</v>
      </c>
      <c r="C6" s="19">
        <v>0</v>
      </c>
      <c r="D6">
        <v>0</v>
      </c>
      <c r="E6">
        <v>0</v>
      </c>
      <c r="F6" s="19" t="e">
        <f t="shared" si="0"/>
        <v>#N/A</v>
      </c>
      <c r="G6" s="49" t="e">
        <v>#N/A</v>
      </c>
    </row>
    <row r="7" spans="1:13" x14ac:dyDescent="0.3">
      <c r="A7" s="1">
        <v>45971</v>
      </c>
      <c r="B7" t="s">
        <v>54</v>
      </c>
      <c r="C7" s="19">
        <v>0</v>
      </c>
      <c r="D7">
        <v>100</v>
      </c>
      <c r="E7">
        <v>0</v>
      </c>
      <c r="F7" s="19">
        <f t="shared" si="0"/>
        <v>0</v>
      </c>
      <c r="G7" s="49">
        <v>0</v>
      </c>
    </row>
    <row r="8" spans="1:13" x14ac:dyDescent="0.3">
      <c r="A8" s="1">
        <v>45972</v>
      </c>
      <c r="B8" t="s">
        <v>48</v>
      </c>
      <c r="C8" s="19">
        <v>0</v>
      </c>
      <c r="D8">
        <v>0</v>
      </c>
      <c r="E8">
        <v>0</v>
      </c>
      <c r="F8" s="19" t="e">
        <f t="shared" si="0"/>
        <v>#N/A</v>
      </c>
      <c r="G8" s="49" t="e">
        <v>#N/A</v>
      </c>
    </row>
    <row r="9" spans="1:13" x14ac:dyDescent="0.3">
      <c r="A9" s="1">
        <v>45972</v>
      </c>
      <c r="B9" t="s">
        <v>50</v>
      </c>
      <c r="C9" s="19">
        <v>0.38</v>
      </c>
      <c r="D9">
        <v>0</v>
      </c>
      <c r="E9">
        <v>0</v>
      </c>
      <c r="F9" s="19" t="e">
        <f t="shared" si="0"/>
        <v>#N/A</v>
      </c>
      <c r="G9" s="49" t="e">
        <v>#N/A</v>
      </c>
    </row>
    <row r="10" spans="1:13" x14ac:dyDescent="0.3">
      <c r="A10" s="1">
        <v>45972</v>
      </c>
      <c r="B10" t="s">
        <v>51</v>
      </c>
      <c r="C10" s="19">
        <v>0.35</v>
      </c>
      <c r="D10">
        <v>0</v>
      </c>
      <c r="E10">
        <v>0</v>
      </c>
      <c r="F10" s="19" t="e">
        <f t="shared" si="0"/>
        <v>#N/A</v>
      </c>
      <c r="G10" s="49" t="e">
        <v>#N/A</v>
      </c>
    </row>
    <row r="11" spans="1:13" x14ac:dyDescent="0.3">
      <c r="A11" s="1">
        <v>45972</v>
      </c>
      <c r="B11" t="s">
        <v>52</v>
      </c>
      <c r="C11" s="19">
        <v>0.53</v>
      </c>
      <c r="D11">
        <v>0</v>
      </c>
      <c r="E11">
        <v>0</v>
      </c>
      <c r="F11" s="19" t="e">
        <f t="shared" si="0"/>
        <v>#N/A</v>
      </c>
      <c r="G11" s="49" t="e">
        <v>#N/A</v>
      </c>
    </row>
    <row r="12" spans="1:13" x14ac:dyDescent="0.3">
      <c r="A12" s="1">
        <v>45972</v>
      </c>
      <c r="B12" t="s">
        <v>53</v>
      </c>
      <c r="C12" s="19">
        <v>0</v>
      </c>
      <c r="D12">
        <v>0</v>
      </c>
      <c r="E12">
        <v>0</v>
      </c>
      <c r="F12" s="19" t="e">
        <f t="shared" si="0"/>
        <v>#N/A</v>
      </c>
      <c r="G12" s="49" t="e">
        <v>#N/A</v>
      </c>
    </row>
    <row r="13" spans="1:13" x14ac:dyDescent="0.3">
      <c r="A13" s="1">
        <v>45972</v>
      </c>
      <c r="B13" t="s">
        <v>54</v>
      </c>
      <c r="C13" s="19">
        <v>0</v>
      </c>
      <c r="D13">
        <v>0</v>
      </c>
      <c r="E13">
        <v>0</v>
      </c>
      <c r="F13" s="19" t="e">
        <f t="shared" si="0"/>
        <v>#N/A</v>
      </c>
      <c r="G13" s="49" t="e">
        <v>#N/A</v>
      </c>
    </row>
    <row r="14" spans="1:13" x14ac:dyDescent="0.3">
      <c r="A14" s="1">
        <v>45973</v>
      </c>
      <c r="B14" t="s">
        <v>48</v>
      </c>
      <c r="C14" s="19">
        <v>0</v>
      </c>
      <c r="D14">
        <v>96</v>
      </c>
      <c r="E14">
        <v>0</v>
      </c>
      <c r="F14" s="19">
        <f t="shared" si="0"/>
        <v>0</v>
      </c>
      <c r="G14" s="49">
        <v>0</v>
      </c>
      <c r="L14" t="s">
        <v>55</v>
      </c>
    </row>
    <row r="15" spans="1:13" x14ac:dyDescent="0.3">
      <c r="A15" s="1">
        <v>45973</v>
      </c>
      <c r="B15" t="s">
        <v>50</v>
      </c>
      <c r="C15" s="19">
        <v>0.62</v>
      </c>
      <c r="D15">
        <v>103</v>
      </c>
      <c r="E15">
        <v>0</v>
      </c>
      <c r="F15" s="19">
        <f t="shared" si="0"/>
        <v>0</v>
      </c>
      <c r="G15" s="49">
        <v>0</v>
      </c>
    </row>
    <row r="16" spans="1:13" x14ac:dyDescent="0.3">
      <c r="A16" s="1">
        <v>45973</v>
      </c>
      <c r="B16" t="s">
        <v>51</v>
      </c>
      <c r="C16" s="19">
        <v>0.56000000000000005</v>
      </c>
      <c r="D16">
        <v>103</v>
      </c>
      <c r="E16">
        <v>0</v>
      </c>
      <c r="F16" s="19">
        <f t="shared" si="0"/>
        <v>0</v>
      </c>
      <c r="G16" s="49">
        <v>0</v>
      </c>
    </row>
    <row r="17" spans="1:12" x14ac:dyDescent="0.3">
      <c r="A17" s="1">
        <v>45973</v>
      </c>
      <c r="B17" t="s">
        <v>52</v>
      </c>
      <c r="C17" s="19">
        <v>0.55000000000000004</v>
      </c>
      <c r="D17">
        <v>81</v>
      </c>
      <c r="E17">
        <v>0</v>
      </c>
      <c r="F17" s="19">
        <f t="shared" si="0"/>
        <v>0</v>
      </c>
      <c r="G17" s="49">
        <v>0</v>
      </c>
      <c r="K17" t="s">
        <v>56</v>
      </c>
    </row>
    <row r="18" spans="1:12" x14ac:dyDescent="0.3">
      <c r="A18" s="1">
        <v>45973</v>
      </c>
      <c r="B18" t="s">
        <v>53</v>
      </c>
      <c r="C18" s="19">
        <v>0</v>
      </c>
      <c r="D18">
        <v>0</v>
      </c>
      <c r="E18">
        <v>0</v>
      </c>
      <c r="F18" s="19" t="e">
        <f t="shared" si="0"/>
        <v>#N/A</v>
      </c>
      <c r="G18" s="49" t="e">
        <v>#N/A</v>
      </c>
    </row>
    <row r="19" spans="1:12" x14ac:dyDescent="0.3">
      <c r="A19" s="1">
        <v>45973</v>
      </c>
      <c r="B19" t="s">
        <v>54</v>
      </c>
      <c r="C19" s="19">
        <v>0.66</v>
      </c>
      <c r="D19">
        <v>100</v>
      </c>
      <c r="E19">
        <v>0</v>
      </c>
      <c r="F19" s="19">
        <f t="shared" si="0"/>
        <v>0</v>
      </c>
      <c r="G19" s="49">
        <v>0</v>
      </c>
    </row>
    <row r="20" spans="1:12" x14ac:dyDescent="0.3">
      <c r="A20" s="1">
        <v>45974</v>
      </c>
      <c r="B20" t="s">
        <v>48</v>
      </c>
      <c r="C20" s="19">
        <v>0</v>
      </c>
      <c r="D20">
        <v>4638</v>
      </c>
      <c r="E20">
        <v>4341</v>
      </c>
      <c r="F20" s="19">
        <f t="shared" si="0"/>
        <v>0.93596377749029758</v>
      </c>
      <c r="G20" s="49">
        <v>0.93596377749029758</v>
      </c>
      <c r="L20" t="s">
        <v>57</v>
      </c>
    </row>
    <row r="21" spans="1:12" x14ac:dyDescent="0.3">
      <c r="A21" s="1">
        <v>45974</v>
      </c>
      <c r="B21" t="s">
        <v>50</v>
      </c>
      <c r="C21" s="19">
        <v>0.83</v>
      </c>
      <c r="D21">
        <v>3488</v>
      </c>
      <c r="E21">
        <v>3630</v>
      </c>
      <c r="F21" s="19">
        <f t="shared" si="0"/>
        <v>1.0407110091743119</v>
      </c>
      <c r="G21" s="49">
        <v>1.0407110091743119</v>
      </c>
      <c r="H21" t="s">
        <v>58</v>
      </c>
      <c r="I21" t="s">
        <v>58</v>
      </c>
    </row>
    <row r="22" spans="1:12" x14ac:dyDescent="0.3">
      <c r="A22" s="1">
        <v>45974</v>
      </c>
      <c r="B22" t="s">
        <v>51</v>
      </c>
      <c r="C22" s="19">
        <v>0.61</v>
      </c>
      <c r="D22">
        <v>2200</v>
      </c>
      <c r="E22">
        <v>0</v>
      </c>
      <c r="F22" s="19">
        <f t="shared" si="0"/>
        <v>0</v>
      </c>
      <c r="G22" s="49">
        <v>0</v>
      </c>
      <c r="H22" t="s">
        <v>58</v>
      </c>
      <c r="I22" t="s">
        <v>58</v>
      </c>
    </row>
    <row r="23" spans="1:12" x14ac:dyDescent="0.3">
      <c r="A23" s="1">
        <v>45974</v>
      </c>
      <c r="B23" t="s">
        <v>52</v>
      </c>
      <c r="C23" s="19">
        <v>0.59</v>
      </c>
      <c r="D23">
        <v>16000</v>
      </c>
      <c r="E23">
        <v>14392</v>
      </c>
      <c r="F23" s="19">
        <f t="shared" si="0"/>
        <v>0.89949999999999997</v>
      </c>
      <c r="G23" s="49">
        <v>0.89949999999999997</v>
      </c>
      <c r="H23" t="s">
        <v>58</v>
      </c>
      <c r="I23" t="s">
        <v>58</v>
      </c>
      <c r="J23">
        <v>210</v>
      </c>
    </row>
    <row r="24" spans="1:12" x14ac:dyDescent="0.3">
      <c r="A24" s="1">
        <v>45974</v>
      </c>
      <c r="B24" t="s">
        <v>53</v>
      </c>
      <c r="C24" s="19">
        <v>0</v>
      </c>
      <c r="D24">
        <v>0</v>
      </c>
      <c r="E24">
        <v>0</v>
      </c>
      <c r="F24" s="19" t="e">
        <f t="shared" si="0"/>
        <v>#N/A</v>
      </c>
      <c r="G24" s="49" t="e">
        <v>#N/A</v>
      </c>
    </row>
    <row r="25" spans="1:12" x14ac:dyDescent="0.3">
      <c r="A25" s="1">
        <v>45974</v>
      </c>
      <c r="B25" t="s">
        <v>54</v>
      </c>
      <c r="C25" s="19">
        <v>0.52</v>
      </c>
      <c r="D25">
        <v>2500</v>
      </c>
      <c r="E25">
        <v>1901</v>
      </c>
      <c r="F25" s="19">
        <f t="shared" si="0"/>
        <v>0.76039999999999996</v>
      </c>
      <c r="G25" s="49">
        <v>0.76039999999999996</v>
      </c>
      <c r="H25" t="s">
        <v>58</v>
      </c>
      <c r="I25" t="s">
        <v>58</v>
      </c>
      <c r="J25">
        <v>210</v>
      </c>
    </row>
    <row r="26" spans="1:12" x14ac:dyDescent="0.3">
      <c r="A26" s="1">
        <v>45975</v>
      </c>
      <c r="B26" t="s">
        <v>48</v>
      </c>
      <c r="C26" s="19">
        <v>0</v>
      </c>
      <c r="D26">
        <v>4920</v>
      </c>
      <c r="E26">
        <v>4988</v>
      </c>
      <c r="F26" s="19">
        <f t="shared" si="0"/>
        <v>1.0138211382113822</v>
      </c>
      <c r="G26" s="49">
        <v>1.0138211382113822</v>
      </c>
      <c r="L26" t="s">
        <v>59</v>
      </c>
    </row>
    <row r="27" spans="1:12" x14ac:dyDescent="0.3">
      <c r="A27" s="1">
        <v>45975</v>
      </c>
      <c r="B27" t="s">
        <v>50</v>
      </c>
      <c r="C27" s="19">
        <v>0.52</v>
      </c>
      <c r="D27">
        <v>1400</v>
      </c>
      <c r="E27">
        <v>1444</v>
      </c>
      <c r="F27" s="19">
        <f t="shared" si="0"/>
        <v>1.0314285714285714</v>
      </c>
      <c r="G27" s="49">
        <v>1.0314285714285714</v>
      </c>
      <c r="H27" t="s">
        <v>60</v>
      </c>
      <c r="I27" t="s">
        <v>58</v>
      </c>
    </row>
    <row r="28" spans="1:12" x14ac:dyDescent="0.3">
      <c r="A28" s="1">
        <v>45975</v>
      </c>
      <c r="B28" t="s">
        <v>51</v>
      </c>
      <c r="C28" s="19">
        <v>0.55000000000000004</v>
      </c>
      <c r="D28">
        <v>2200</v>
      </c>
      <c r="E28">
        <v>2106</v>
      </c>
      <c r="F28" s="19">
        <f t="shared" si="0"/>
        <v>0.95727272727272728</v>
      </c>
      <c r="G28" s="49">
        <v>0.95727272727272728</v>
      </c>
      <c r="H28" t="s">
        <v>58</v>
      </c>
      <c r="I28" t="s">
        <v>58</v>
      </c>
    </row>
    <row r="29" spans="1:12" x14ac:dyDescent="0.3">
      <c r="A29" s="1">
        <v>45975</v>
      </c>
      <c r="B29" t="s">
        <v>52</v>
      </c>
      <c r="C29" s="19">
        <v>0.54</v>
      </c>
      <c r="D29">
        <v>13958</v>
      </c>
      <c r="E29">
        <v>8238</v>
      </c>
      <c r="F29" s="19">
        <f t="shared" si="0"/>
        <v>0.5901991689353776</v>
      </c>
      <c r="G29" s="49">
        <v>0.5901991689353776</v>
      </c>
      <c r="H29" t="s">
        <v>60</v>
      </c>
      <c r="I29" t="s">
        <v>58</v>
      </c>
    </row>
    <row r="30" spans="1:12" x14ac:dyDescent="0.3">
      <c r="A30" s="1">
        <v>45975</v>
      </c>
      <c r="B30" t="s">
        <v>53</v>
      </c>
      <c r="C30" s="19">
        <v>0</v>
      </c>
      <c r="D30">
        <v>0</v>
      </c>
      <c r="E30">
        <v>0</v>
      </c>
      <c r="F30" s="19" t="e">
        <f t="shared" si="0"/>
        <v>#N/A</v>
      </c>
      <c r="G30" s="49" t="e">
        <v>#N/A</v>
      </c>
    </row>
    <row r="31" spans="1:12" x14ac:dyDescent="0.3">
      <c r="A31" s="1">
        <v>45975</v>
      </c>
      <c r="B31" t="s">
        <v>54</v>
      </c>
      <c r="C31" s="19">
        <v>0.44</v>
      </c>
      <c r="D31">
        <v>2500</v>
      </c>
      <c r="E31">
        <v>2110</v>
      </c>
      <c r="F31" s="19">
        <f t="shared" si="0"/>
        <v>0.84399999999999997</v>
      </c>
      <c r="G31" s="49">
        <v>0.84399999999999997</v>
      </c>
      <c r="H31" t="s">
        <v>58</v>
      </c>
      <c r="I31" t="s">
        <v>58</v>
      </c>
    </row>
    <row r="32" spans="1:12" x14ac:dyDescent="0.3">
      <c r="A32" s="1">
        <v>45976</v>
      </c>
      <c r="B32" t="s">
        <v>48</v>
      </c>
      <c r="C32" s="19">
        <v>0</v>
      </c>
      <c r="D32">
        <v>0</v>
      </c>
      <c r="E32">
        <v>0</v>
      </c>
      <c r="F32" s="19" t="e">
        <f t="shared" si="0"/>
        <v>#N/A</v>
      </c>
      <c r="G32" s="49" t="e">
        <v>#N/A</v>
      </c>
    </row>
    <row r="33" spans="1:12" x14ac:dyDescent="0.3">
      <c r="A33" s="1">
        <v>45976</v>
      </c>
      <c r="B33" t="s">
        <v>50</v>
      </c>
      <c r="C33" s="19">
        <v>0</v>
      </c>
      <c r="D33">
        <v>0</v>
      </c>
      <c r="E33">
        <v>0</v>
      </c>
      <c r="F33" s="19" t="e">
        <f t="shared" si="0"/>
        <v>#N/A</v>
      </c>
      <c r="G33" s="49" t="e">
        <v>#N/A</v>
      </c>
    </row>
    <row r="34" spans="1:12" x14ac:dyDescent="0.3">
      <c r="A34" s="1">
        <v>45976</v>
      </c>
      <c r="B34" t="s">
        <v>51</v>
      </c>
      <c r="C34" s="19">
        <v>0</v>
      </c>
      <c r="D34">
        <v>0</v>
      </c>
      <c r="E34">
        <v>2206</v>
      </c>
      <c r="F34" s="19" t="e">
        <f t="shared" si="0"/>
        <v>#N/A</v>
      </c>
      <c r="G34" s="49" t="e">
        <v>#N/A</v>
      </c>
    </row>
    <row r="35" spans="1:12" x14ac:dyDescent="0.3">
      <c r="A35" s="1">
        <v>45976</v>
      </c>
      <c r="B35" t="s">
        <v>52</v>
      </c>
      <c r="C35" s="19">
        <v>0</v>
      </c>
      <c r="D35">
        <v>0</v>
      </c>
      <c r="E35">
        <v>0</v>
      </c>
      <c r="F35" s="19" t="e">
        <f t="shared" si="0"/>
        <v>#N/A</v>
      </c>
      <c r="G35" s="49" t="e">
        <v>#N/A</v>
      </c>
    </row>
    <row r="36" spans="1:12" x14ac:dyDescent="0.3">
      <c r="A36" s="1">
        <v>45976</v>
      </c>
      <c r="B36" t="s">
        <v>53</v>
      </c>
      <c r="C36" s="19">
        <v>0</v>
      </c>
      <c r="D36">
        <v>0</v>
      </c>
      <c r="E36">
        <v>0</v>
      </c>
      <c r="F36" s="19" t="e">
        <f t="shared" si="0"/>
        <v>#N/A</v>
      </c>
      <c r="G36" s="49" t="e">
        <v>#N/A</v>
      </c>
    </row>
    <row r="37" spans="1:12" x14ac:dyDescent="0.3">
      <c r="A37" s="1">
        <v>45976</v>
      </c>
      <c r="B37" t="s">
        <v>54</v>
      </c>
      <c r="C37" s="19">
        <v>0</v>
      </c>
      <c r="D37">
        <v>0</v>
      </c>
      <c r="E37">
        <v>0</v>
      </c>
      <c r="F37" s="19" t="e">
        <f t="shared" si="0"/>
        <v>#N/A</v>
      </c>
      <c r="G37" s="49" t="e">
        <v>#N/A</v>
      </c>
    </row>
    <row r="38" spans="1:12" x14ac:dyDescent="0.3">
      <c r="A38" s="1">
        <v>45978</v>
      </c>
      <c r="B38" t="s">
        <v>48</v>
      </c>
      <c r="C38" s="19">
        <v>0</v>
      </c>
      <c r="D38">
        <v>4194</v>
      </c>
      <c r="E38">
        <v>4050</v>
      </c>
      <c r="F38" s="19">
        <f t="shared" si="0"/>
        <v>0.96566523605150212</v>
      </c>
      <c r="G38" s="49">
        <v>0.96566523605150212</v>
      </c>
      <c r="L38" t="s">
        <v>61</v>
      </c>
    </row>
    <row r="39" spans="1:12" x14ac:dyDescent="0.3">
      <c r="A39" s="1">
        <v>45978</v>
      </c>
      <c r="B39" t="s">
        <v>50</v>
      </c>
      <c r="C39" s="19">
        <v>0.54</v>
      </c>
      <c r="D39">
        <v>1540</v>
      </c>
      <c r="E39">
        <v>1677</v>
      </c>
      <c r="F39" s="19">
        <f t="shared" si="0"/>
        <v>1.0889610389610389</v>
      </c>
      <c r="G39" s="49">
        <v>1.0889610389610389</v>
      </c>
      <c r="I39" t="s">
        <v>58</v>
      </c>
    </row>
    <row r="40" spans="1:12" x14ac:dyDescent="0.3">
      <c r="A40" s="1">
        <v>45978</v>
      </c>
      <c r="B40" t="s">
        <v>51</v>
      </c>
      <c r="C40" s="19">
        <v>0.65</v>
      </c>
      <c r="D40">
        <v>2200</v>
      </c>
      <c r="E40">
        <v>0</v>
      </c>
      <c r="F40" s="19">
        <f t="shared" si="0"/>
        <v>0</v>
      </c>
      <c r="G40" s="49">
        <v>0</v>
      </c>
      <c r="H40" t="s">
        <v>60</v>
      </c>
      <c r="I40" t="s">
        <v>58</v>
      </c>
    </row>
    <row r="41" spans="1:12" x14ac:dyDescent="0.3">
      <c r="A41" s="1">
        <v>45978</v>
      </c>
      <c r="B41" t="s">
        <v>52</v>
      </c>
      <c r="C41" s="19">
        <v>0.61</v>
      </c>
      <c r="D41">
        <v>14001</v>
      </c>
      <c r="E41">
        <v>13852</v>
      </c>
      <c r="F41" s="19">
        <f t="shared" si="0"/>
        <v>0.98935790300692805</v>
      </c>
      <c r="G41" s="49">
        <v>0.98935790300692805</v>
      </c>
      <c r="H41" t="s">
        <v>60</v>
      </c>
      <c r="I41" t="s">
        <v>58</v>
      </c>
    </row>
    <row r="42" spans="1:12" x14ac:dyDescent="0.3">
      <c r="A42" s="1">
        <v>45978</v>
      </c>
      <c r="B42" t="s">
        <v>53</v>
      </c>
      <c r="C42" s="19">
        <v>0</v>
      </c>
      <c r="D42">
        <v>0</v>
      </c>
      <c r="E42">
        <v>0</v>
      </c>
      <c r="F42" s="19" t="e">
        <f t="shared" si="0"/>
        <v>#N/A</v>
      </c>
      <c r="G42" s="49" t="e">
        <v>#N/A</v>
      </c>
    </row>
    <row r="43" spans="1:12" x14ac:dyDescent="0.3">
      <c r="A43" s="1">
        <v>45978</v>
      </c>
      <c r="B43" t="s">
        <v>54</v>
      </c>
      <c r="C43" s="19">
        <v>0.65</v>
      </c>
      <c r="D43">
        <v>2500</v>
      </c>
      <c r="E43">
        <v>2507</v>
      </c>
      <c r="F43" s="19">
        <f t="shared" si="0"/>
        <v>1.0027999999999999</v>
      </c>
      <c r="G43" s="49">
        <v>1.0027999999999999</v>
      </c>
      <c r="H43" t="s">
        <v>60</v>
      </c>
      <c r="I43" t="s">
        <v>58</v>
      </c>
    </row>
    <row r="44" spans="1:12" x14ac:dyDescent="0.3">
      <c r="A44" s="1">
        <v>45979</v>
      </c>
      <c r="B44" t="s">
        <v>48</v>
      </c>
      <c r="C44" s="19">
        <v>0</v>
      </c>
      <c r="D44">
        <v>0</v>
      </c>
      <c r="E44">
        <v>0</v>
      </c>
      <c r="F44" s="19" t="e">
        <f t="shared" si="0"/>
        <v>#N/A</v>
      </c>
      <c r="G44" s="49" t="e">
        <v>#N/A</v>
      </c>
      <c r="J44">
        <v>65</v>
      </c>
      <c r="K44" t="s">
        <v>56</v>
      </c>
      <c r="L44" t="s">
        <v>62</v>
      </c>
    </row>
    <row r="45" spans="1:12" x14ac:dyDescent="0.3">
      <c r="A45" s="1">
        <v>45979</v>
      </c>
      <c r="B45" t="s">
        <v>50</v>
      </c>
      <c r="C45" s="19">
        <v>0.5</v>
      </c>
      <c r="D45">
        <v>0</v>
      </c>
      <c r="E45">
        <v>0</v>
      </c>
      <c r="F45" s="19" t="e">
        <f t="shared" si="0"/>
        <v>#N/A</v>
      </c>
      <c r="G45" s="49" t="e">
        <v>#N/A</v>
      </c>
      <c r="H45" t="s">
        <v>58</v>
      </c>
      <c r="I45" t="s">
        <v>58</v>
      </c>
    </row>
    <row r="46" spans="1:12" x14ac:dyDescent="0.3">
      <c r="A46" s="1">
        <v>45979</v>
      </c>
      <c r="B46" t="s">
        <v>51</v>
      </c>
      <c r="C46" s="19">
        <v>0.33</v>
      </c>
      <c r="D46">
        <v>0</v>
      </c>
      <c r="E46">
        <v>2236</v>
      </c>
      <c r="F46" s="19" t="e">
        <f t="shared" si="0"/>
        <v>#N/A</v>
      </c>
      <c r="G46" s="49" t="e">
        <v>#N/A</v>
      </c>
      <c r="I46" t="s">
        <v>58</v>
      </c>
      <c r="J46">
        <v>180</v>
      </c>
    </row>
    <row r="47" spans="1:12" x14ac:dyDescent="0.3">
      <c r="A47" s="1">
        <v>45979</v>
      </c>
      <c r="B47" t="s">
        <v>52</v>
      </c>
      <c r="C47" s="19">
        <v>0.46</v>
      </c>
      <c r="D47">
        <v>0</v>
      </c>
      <c r="E47">
        <v>0</v>
      </c>
      <c r="F47" s="19" t="e">
        <f t="shared" si="0"/>
        <v>#N/A</v>
      </c>
      <c r="G47" s="49" t="e">
        <v>#N/A</v>
      </c>
      <c r="H47" t="s">
        <v>58</v>
      </c>
      <c r="I47" t="s">
        <v>58</v>
      </c>
      <c r="J47">
        <v>180</v>
      </c>
    </row>
    <row r="48" spans="1:12" x14ac:dyDescent="0.3">
      <c r="A48" s="1">
        <v>45979</v>
      </c>
      <c r="B48" t="s">
        <v>53</v>
      </c>
      <c r="C48" s="19">
        <v>0</v>
      </c>
      <c r="D48">
        <v>0</v>
      </c>
      <c r="E48">
        <v>0</v>
      </c>
      <c r="F48" s="19" t="e">
        <f t="shared" si="0"/>
        <v>#N/A</v>
      </c>
      <c r="G48" s="49" t="e">
        <v>#N/A</v>
      </c>
    </row>
    <row r="49" spans="1:12" x14ac:dyDescent="0.3">
      <c r="A49" s="1">
        <v>45979</v>
      </c>
      <c r="B49" t="s">
        <v>54</v>
      </c>
      <c r="C49" s="19">
        <v>0.33</v>
      </c>
      <c r="D49">
        <v>0</v>
      </c>
      <c r="E49">
        <v>0</v>
      </c>
      <c r="F49" s="19" t="e">
        <f t="shared" si="0"/>
        <v>#N/A</v>
      </c>
      <c r="G49" s="49" t="e">
        <v>#N/A</v>
      </c>
      <c r="I49" t="s">
        <v>58</v>
      </c>
      <c r="J49">
        <v>60</v>
      </c>
    </row>
    <row r="50" spans="1:12" x14ac:dyDescent="0.3">
      <c r="A50" s="1">
        <v>45980</v>
      </c>
      <c r="B50" t="s">
        <v>48</v>
      </c>
      <c r="C50" s="19">
        <v>0</v>
      </c>
      <c r="D50">
        <v>24229</v>
      </c>
      <c r="E50">
        <v>27138</v>
      </c>
      <c r="F50" s="19">
        <f t="shared" si="0"/>
        <v>1.1200627347393619</v>
      </c>
      <c r="G50" s="49">
        <v>1.1200627347393619</v>
      </c>
      <c r="L50" t="s">
        <v>63</v>
      </c>
    </row>
    <row r="51" spans="1:12" x14ac:dyDescent="0.3">
      <c r="A51" s="1">
        <v>45980</v>
      </c>
      <c r="B51" t="s">
        <v>50</v>
      </c>
      <c r="C51" s="19">
        <v>0.71</v>
      </c>
      <c r="D51">
        <v>6962</v>
      </c>
      <c r="E51">
        <v>7605</v>
      </c>
      <c r="F51" s="19">
        <f t="shared" si="0"/>
        <v>1.0923585176673369</v>
      </c>
      <c r="G51" s="49">
        <v>1.0923585176673369</v>
      </c>
      <c r="H51" t="s">
        <v>58</v>
      </c>
      <c r="I51" t="s">
        <v>58</v>
      </c>
    </row>
    <row r="52" spans="1:12" x14ac:dyDescent="0.3">
      <c r="A52" s="1">
        <v>45980</v>
      </c>
      <c r="B52" t="s">
        <v>51</v>
      </c>
      <c r="C52" s="19">
        <v>0.4</v>
      </c>
      <c r="D52">
        <v>21000</v>
      </c>
      <c r="E52">
        <v>2215</v>
      </c>
      <c r="F52" s="19">
        <f t="shared" si="0"/>
        <v>0.10547619047619047</v>
      </c>
      <c r="G52" s="49">
        <v>0.10547619047619047</v>
      </c>
      <c r="I52" t="s">
        <v>58</v>
      </c>
    </row>
    <row r="53" spans="1:12" x14ac:dyDescent="0.3">
      <c r="A53" s="1">
        <v>45980</v>
      </c>
      <c r="B53" t="s">
        <v>52</v>
      </c>
      <c r="C53" s="19">
        <v>0.6</v>
      </c>
      <c r="D53">
        <v>88163</v>
      </c>
      <c r="E53">
        <v>93589</v>
      </c>
      <c r="F53" s="19">
        <f t="shared" si="0"/>
        <v>1.0615450926125471</v>
      </c>
      <c r="G53" s="49">
        <v>1.0615450926125471</v>
      </c>
      <c r="H53" t="s">
        <v>58</v>
      </c>
      <c r="I53" t="s">
        <v>58</v>
      </c>
      <c r="J53">
        <v>20</v>
      </c>
    </row>
    <row r="54" spans="1:12" x14ac:dyDescent="0.3">
      <c r="A54" s="1">
        <v>45980</v>
      </c>
      <c r="B54" t="s">
        <v>53</v>
      </c>
      <c r="C54" s="19">
        <v>0</v>
      </c>
      <c r="D54">
        <v>0</v>
      </c>
      <c r="E54">
        <v>0</v>
      </c>
      <c r="F54" s="19" t="e">
        <f t="shared" si="0"/>
        <v>#N/A</v>
      </c>
      <c r="G54" s="49" t="e">
        <v>#N/A</v>
      </c>
      <c r="H54" t="s">
        <v>60</v>
      </c>
    </row>
    <row r="55" spans="1:12" x14ac:dyDescent="0.3">
      <c r="A55" s="1">
        <v>45980</v>
      </c>
      <c r="B55" t="s">
        <v>54</v>
      </c>
      <c r="C55" s="19">
        <v>0.04</v>
      </c>
      <c r="D55">
        <v>13313</v>
      </c>
      <c r="E55">
        <v>7498</v>
      </c>
      <c r="F55" s="19">
        <f t="shared" si="0"/>
        <v>0.56320889356268311</v>
      </c>
      <c r="G55" s="49">
        <v>0.56320889356268311</v>
      </c>
      <c r="I55" t="s">
        <v>58</v>
      </c>
    </row>
    <row r="56" spans="1:12" x14ac:dyDescent="0.3">
      <c r="A56" s="1">
        <v>45981</v>
      </c>
      <c r="B56" t="s">
        <v>48</v>
      </c>
      <c r="C56" s="19">
        <v>0</v>
      </c>
      <c r="D56">
        <v>27150</v>
      </c>
      <c r="E56">
        <v>27877</v>
      </c>
      <c r="F56" s="19">
        <f t="shared" si="0"/>
        <v>1.0267771639042358</v>
      </c>
      <c r="G56" s="49">
        <v>1.0267771639042358</v>
      </c>
      <c r="K56" t="s">
        <v>64</v>
      </c>
      <c r="L56" t="s">
        <v>65</v>
      </c>
    </row>
    <row r="57" spans="1:12" x14ac:dyDescent="0.3">
      <c r="A57" s="1">
        <v>45981</v>
      </c>
      <c r="B57" t="s">
        <v>50</v>
      </c>
      <c r="C57" s="19">
        <v>0.69</v>
      </c>
      <c r="D57">
        <v>6440</v>
      </c>
      <c r="E57">
        <v>7077</v>
      </c>
      <c r="F57" s="19">
        <f t="shared" si="0"/>
        <v>1.0989130434782608</v>
      </c>
      <c r="G57" s="49">
        <v>1.0989130434782608</v>
      </c>
      <c r="I57" t="s">
        <v>58</v>
      </c>
    </row>
    <row r="58" spans="1:12" x14ac:dyDescent="0.3">
      <c r="A58" s="1">
        <v>45981</v>
      </c>
      <c r="B58" t="s">
        <v>51</v>
      </c>
      <c r="C58" s="19">
        <v>0</v>
      </c>
      <c r="D58">
        <v>0</v>
      </c>
      <c r="E58">
        <v>0</v>
      </c>
      <c r="F58" s="19" t="e">
        <f t="shared" si="0"/>
        <v>#N/A</v>
      </c>
      <c r="G58" s="49" t="e">
        <v>#N/A</v>
      </c>
      <c r="H58" t="s">
        <v>58</v>
      </c>
      <c r="I58" t="s">
        <v>58</v>
      </c>
    </row>
    <row r="59" spans="1:12" x14ac:dyDescent="0.3">
      <c r="A59" s="1">
        <v>45981</v>
      </c>
      <c r="B59" t="s">
        <v>52</v>
      </c>
      <c r="C59" s="19">
        <v>0.53</v>
      </c>
      <c r="D59">
        <v>62846</v>
      </c>
      <c r="E59">
        <v>65906</v>
      </c>
      <c r="F59" s="19">
        <f t="shared" si="0"/>
        <v>1.0486904496706235</v>
      </c>
      <c r="G59" s="49">
        <v>1.0486904496706235</v>
      </c>
      <c r="H59" t="s">
        <v>60</v>
      </c>
      <c r="I59" t="s">
        <v>58</v>
      </c>
      <c r="J59">
        <v>120</v>
      </c>
    </row>
    <row r="60" spans="1:12" x14ac:dyDescent="0.3">
      <c r="A60" s="1">
        <v>45981</v>
      </c>
      <c r="B60" t="s">
        <v>53</v>
      </c>
      <c r="C60" s="19">
        <v>0.4</v>
      </c>
      <c r="D60">
        <v>41958</v>
      </c>
      <c r="E60">
        <v>50535</v>
      </c>
      <c r="F60" s="19">
        <f t="shared" si="0"/>
        <v>1.2044187044187045</v>
      </c>
      <c r="G60" s="49">
        <v>1.2044187044187045</v>
      </c>
      <c r="H60" t="s">
        <v>60</v>
      </c>
      <c r="J60">
        <v>180</v>
      </c>
    </row>
    <row r="61" spans="1:12" x14ac:dyDescent="0.3">
      <c r="A61" s="1">
        <v>45981</v>
      </c>
      <c r="B61" t="s">
        <v>54</v>
      </c>
      <c r="C61" s="19">
        <v>0</v>
      </c>
      <c r="D61">
        <v>0</v>
      </c>
      <c r="E61">
        <v>0</v>
      </c>
      <c r="F61" s="19" t="e">
        <f t="shared" si="0"/>
        <v>#N/A</v>
      </c>
      <c r="G61" s="49" t="e">
        <v>#N/A</v>
      </c>
      <c r="H61" t="s">
        <v>60</v>
      </c>
      <c r="I61" t="s">
        <v>58</v>
      </c>
    </row>
    <row r="62" spans="1:12" x14ac:dyDescent="0.3">
      <c r="A62" s="1">
        <v>45982</v>
      </c>
      <c r="B62" t="s">
        <v>48</v>
      </c>
      <c r="C62" s="19">
        <v>0</v>
      </c>
      <c r="D62">
        <v>0</v>
      </c>
      <c r="E62">
        <v>0</v>
      </c>
      <c r="F62" s="19" t="e">
        <f t="shared" si="0"/>
        <v>#N/A</v>
      </c>
      <c r="G62" s="49" t="e">
        <v>#N/A</v>
      </c>
      <c r="L62" t="s">
        <v>66</v>
      </c>
    </row>
    <row r="63" spans="1:12" x14ac:dyDescent="0.3">
      <c r="A63" s="1">
        <v>45982</v>
      </c>
      <c r="B63" t="s">
        <v>50</v>
      </c>
      <c r="C63" s="19">
        <v>0</v>
      </c>
      <c r="D63">
        <v>0</v>
      </c>
      <c r="E63">
        <v>0</v>
      </c>
      <c r="F63" s="19" t="e">
        <f t="shared" si="0"/>
        <v>#N/A</v>
      </c>
      <c r="G63" s="49" t="e">
        <v>#N/A</v>
      </c>
    </row>
    <row r="64" spans="1:12" x14ac:dyDescent="0.3">
      <c r="A64" s="1">
        <v>45982</v>
      </c>
      <c r="B64" t="s">
        <v>51</v>
      </c>
      <c r="C64" s="19">
        <v>0.22</v>
      </c>
      <c r="D64">
        <v>21525</v>
      </c>
      <c r="E64">
        <v>18458</v>
      </c>
      <c r="F64" s="19">
        <f t="shared" si="0"/>
        <v>0.85751451800232292</v>
      </c>
      <c r="G64" s="49">
        <v>0.85751451800232292</v>
      </c>
      <c r="I64" t="s">
        <v>58</v>
      </c>
    </row>
    <row r="65" spans="1:12" x14ac:dyDescent="0.3">
      <c r="A65" s="1">
        <v>45982</v>
      </c>
      <c r="B65" t="s">
        <v>52</v>
      </c>
      <c r="C65" s="19">
        <v>0.48</v>
      </c>
      <c r="D65">
        <v>92223</v>
      </c>
      <c r="E65">
        <v>82441</v>
      </c>
      <c r="F65" s="19">
        <f t="shared" si="0"/>
        <v>0.89393101503963224</v>
      </c>
      <c r="G65" s="49">
        <v>0.89393101503963224</v>
      </c>
      <c r="H65" t="s">
        <v>58</v>
      </c>
      <c r="I65" t="s">
        <v>58</v>
      </c>
      <c r="J65">
        <v>120</v>
      </c>
    </row>
    <row r="66" spans="1:12" x14ac:dyDescent="0.3">
      <c r="A66" s="1">
        <v>45982</v>
      </c>
      <c r="B66" t="s">
        <v>53</v>
      </c>
      <c r="C66" s="19">
        <v>0</v>
      </c>
      <c r="D66">
        <v>42558</v>
      </c>
      <c r="E66">
        <v>42102</v>
      </c>
      <c r="F66" s="19">
        <f t="shared" si="0"/>
        <v>0.98928521077118281</v>
      </c>
      <c r="G66" s="49">
        <v>0.98928521077118281</v>
      </c>
      <c r="H66" t="s">
        <v>58</v>
      </c>
      <c r="J66">
        <v>30</v>
      </c>
    </row>
    <row r="67" spans="1:12" x14ac:dyDescent="0.3">
      <c r="A67" s="1">
        <v>45982</v>
      </c>
      <c r="B67" t="s">
        <v>54</v>
      </c>
      <c r="C67" s="19">
        <v>0.22</v>
      </c>
      <c r="D67">
        <v>15042</v>
      </c>
      <c r="E67">
        <v>13118</v>
      </c>
      <c r="F67" s="19">
        <f t="shared" ref="F67:F130" si="1">IFERROR(E67/D67, NA())</f>
        <v>0.87209147719718128</v>
      </c>
      <c r="G67" s="49">
        <v>0.87209147719718128</v>
      </c>
      <c r="H67" t="s">
        <v>58</v>
      </c>
      <c r="I67" t="s">
        <v>58</v>
      </c>
    </row>
    <row r="68" spans="1:12" x14ac:dyDescent="0.3">
      <c r="A68" s="1">
        <v>45983</v>
      </c>
      <c r="B68" t="s">
        <v>48</v>
      </c>
      <c r="C68" s="19">
        <v>0</v>
      </c>
      <c r="D68">
        <v>21655</v>
      </c>
      <c r="E68">
        <v>22704</v>
      </c>
      <c r="F68" s="19">
        <f t="shared" si="1"/>
        <v>1.0484414684830292</v>
      </c>
      <c r="G68" s="49">
        <v>1.0484414684830292</v>
      </c>
      <c r="K68" t="s">
        <v>67</v>
      </c>
      <c r="L68" t="s">
        <v>68</v>
      </c>
    </row>
    <row r="69" spans="1:12" x14ac:dyDescent="0.3">
      <c r="A69" s="1">
        <v>45983</v>
      </c>
      <c r="B69" t="s">
        <v>50</v>
      </c>
      <c r="C69" s="19">
        <v>0</v>
      </c>
      <c r="D69">
        <v>0</v>
      </c>
      <c r="E69">
        <v>0</v>
      </c>
      <c r="F69" s="19" t="e">
        <f t="shared" si="1"/>
        <v>#N/A</v>
      </c>
      <c r="G69" s="49" t="e">
        <v>#N/A</v>
      </c>
      <c r="H69" t="s">
        <v>60</v>
      </c>
      <c r="I69" t="s">
        <v>69</v>
      </c>
    </row>
    <row r="70" spans="1:12" x14ac:dyDescent="0.3">
      <c r="A70" s="1">
        <v>45983</v>
      </c>
      <c r="B70" t="s">
        <v>51</v>
      </c>
      <c r="C70" s="19">
        <v>0</v>
      </c>
      <c r="D70">
        <v>0</v>
      </c>
      <c r="E70">
        <v>0</v>
      </c>
      <c r="F70" s="19" t="e">
        <f t="shared" si="1"/>
        <v>#N/A</v>
      </c>
      <c r="G70" s="49" t="e">
        <v>#N/A</v>
      </c>
      <c r="H70" t="s">
        <v>58</v>
      </c>
      <c r="I70" t="s">
        <v>69</v>
      </c>
    </row>
    <row r="71" spans="1:12" x14ac:dyDescent="0.3">
      <c r="A71" s="1">
        <v>45983</v>
      </c>
      <c r="B71" t="s">
        <v>52</v>
      </c>
      <c r="C71" s="19">
        <v>0.48</v>
      </c>
      <c r="D71">
        <v>80838</v>
      </c>
      <c r="E71">
        <v>78158</v>
      </c>
      <c r="F71" s="19">
        <f t="shared" si="1"/>
        <v>0.96684727479650656</v>
      </c>
      <c r="G71" s="49">
        <v>0.96684727479650656</v>
      </c>
      <c r="H71" t="s">
        <v>60</v>
      </c>
      <c r="I71" t="s">
        <v>58</v>
      </c>
      <c r="J71">
        <v>10</v>
      </c>
    </row>
    <row r="72" spans="1:12" x14ac:dyDescent="0.3">
      <c r="A72" s="1">
        <v>45983</v>
      </c>
      <c r="B72" t="s">
        <v>53</v>
      </c>
      <c r="C72" s="19">
        <v>0.19</v>
      </c>
      <c r="D72">
        <v>54000</v>
      </c>
      <c r="E72">
        <v>54027</v>
      </c>
      <c r="F72" s="19">
        <f t="shared" si="1"/>
        <v>1.0004999999999999</v>
      </c>
      <c r="G72" s="49">
        <v>1.0004999999999999</v>
      </c>
      <c r="H72" t="s">
        <v>69</v>
      </c>
      <c r="I72" t="s">
        <v>58</v>
      </c>
      <c r="J72">
        <v>120</v>
      </c>
    </row>
    <row r="73" spans="1:12" x14ac:dyDescent="0.3">
      <c r="A73" s="1">
        <v>45983</v>
      </c>
      <c r="B73" t="s">
        <v>54</v>
      </c>
      <c r="C73" s="19">
        <v>0</v>
      </c>
      <c r="D73">
        <v>3440</v>
      </c>
      <c r="E73">
        <v>1803</v>
      </c>
      <c r="F73" s="19">
        <f t="shared" si="1"/>
        <v>0.52412790697674416</v>
      </c>
      <c r="G73" s="49">
        <v>0.52412790697674416</v>
      </c>
      <c r="H73" t="s">
        <v>60</v>
      </c>
      <c r="I73" t="s">
        <v>58</v>
      </c>
      <c r="J73">
        <v>60</v>
      </c>
    </row>
    <row r="74" spans="1:12" x14ac:dyDescent="0.3">
      <c r="A74" s="1">
        <v>45985</v>
      </c>
      <c r="B74" t="s">
        <v>48</v>
      </c>
      <c r="C74" s="19">
        <v>0</v>
      </c>
      <c r="D74">
        <v>24916</v>
      </c>
      <c r="E74">
        <v>24360</v>
      </c>
      <c r="F74" s="19">
        <f t="shared" si="1"/>
        <v>0.97768502167282068</v>
      </c>
      <c r="G74" s="49">
        <v>0.97768502167282068</v>
      </c>
      <c r="K74" t="s">
        <v>70</v>
      </c>
    </row>
    <row r="75" spans="1:12" x14ac:dyDescent="0.3">
      <c r="A75" s="1">
        <v>45985</v>
      </c>
      <c r="B75" t="s">
        <v>50</v>
      </c>
      <c r="C75" s="19">
        <v>0.34</v>
      </c>
      <c r="D75">
        <v>5674</v>
      </c>
      <c r="E75">
        <v>6097</v>
      </c>
      <c r="F75" s="19">
        <f t="shared" si="1"/>
        <v>1.0745505816002821</v>
      </c>
      <c r="G75" s="49">
        <v>1.0745505816002821</v>
      </c>
      <c r="H75" t="s">
        <v>60</v>
      </c>
      <c r="I75" t="s">
        <v>58</v>
      </c>
      <c r="J75">
        <v>60</v>
      </c>
    </row>
    <row r="76" spans="1:12" x14ac:dyDescent="0.3">
      <c r="A76" s="1">
        <v>45985</v>
      </c>
      <c r="B76" t="s">
        <v>51</v>
      </c>
      <c r="C76" s="19">
        <v>0.62</v>
      </c>
      <c r="D76">
        <v>23100</v>
      </c>
      <c r="E76">
        <v>23100</v>
      </c>
      <c r="F76" s="19">
        <f t="shared" si="1"/>
        <v>1</v>
      </c>
      <c r="G76" s="49">
        <v>1</v>
      </c>
      <c r="H76" t="s">
        <v>58</v>
      </c>
      <c r="I76" t="s">
        <v>58</v>
      </c>
    </row>
    <row r="77" spans="1:12" x14ac:dyDescent="0.3">
      <c r="A77" s="1">
        <v>45985</v>
      </c>
      <c r="B77" t="s">
        <v>52</v>
      </c>
      <c r="C77" s="19">
        <v>0.47</v>
      </c>
      <c r="D77">
        <v>95998</v>
      </c>
      <c r="E77">
        <v>70156</v>
      </c>
      <c r="F77" s="19">
        <f t="shared" si="1"/>
        <v>0.73080689181024605</v>
      </c>
      <c r="G77" s="49">
        <v>0.73080689181024605</v>
      </c>
      <c r="H77" t="s">
        <v>60</v>
      </c>
      <c r="I77" t="s">
        <v>58</v>
      </c>
      <c r="J77">
        <v>60</v>
      </c>
    </row>
    <row r="78" spans="1:12" x14ac:dyDescent="0.3">
      <c r="A78" s="1">
        <v>45985</v>
      </c>
      <c r="B78" t="s">
        <v>53</v>
      </c>
      <c r="C78" s="19">
        <v>0</v>
      </c>
      <c r="D78">
        <v>0</v>
      </c>
      <c r="E78">
        <v>0</v>
      </c>
      <c r="F78" s="19" t="e">
        <f t="shared" si="1"/>
        <v>#N/A</v>
      </c>
      <c r="G78" s="49" t="e">
        <v>#N/A</v>
      </c>
      <c r="H78" t="s">
        <v>69</v>
      </c>
      <c r="I78" t="s">
        <v>69</v>
      </c>
    </row>
    <row r="79" spans="1:12" x14ac:dyDescent="0.3">
      <c r="A79" s="1">
        <v>45985</v>
      </c>
      <c r="B79" t="s">
        <v>54</v>
      </c>
      <c r="C79" s="19">
        <v>0.63</v>
      </c>
      <c r="D79">
        <v>13312</v>
      </c>
      <c r="E79">
        <v>8613</v>
      </c>
      <c r="F79" s="19">
        <f t="shared" si="1"/>
        <v>0.64701021634615385</v>
      </c>
      <c r="G79" s="49">
        <v>0.64701021634615385</v>
      </c>
      <c r="H79" t="s">
        <v>60</v>
      </c>
      <c r="I79" t="s">
        <v>58</v>
      </c>
      <c r="J79">
        <v>20</v>
      </c>
    </row>
    <row r="80" spans="1:12" x14ac:dyDescent="0.3">
      <c r="A80" s="1">
        <v>45986</v>
      </c>
      <c r="B80" t="s">
        <v>48</v>
      </c>
      <c r="C80" s="19">
        <v>0</v>
      </c>
      <c r="D80">
        <v>11025</v>
      </c>
      <c r="E80">
        <v>11319</v>
      </c>
      <c r="F80" s="19">
        <f t="shared" si="1"/>
        <v>1.0266666666666666</v>
      </c>
      <c r="G80" s="49">
        <v>1.0266666666666666</v>
      </c>
      <c r="K80" t="s">
        <v>71</v>
      </c>
    </row>
    <row r="81" spans="1:11" x14ac:dyDescent="0.3">
      <c r="A81" s="1">
        <v>45986</v>
      </c>
      <c r="B81" t="s">
        <v>50</v>
      </c>
      <c r="C81" s="19">
        <v>0.54</v>
      </c>
      <c r="D81">
        <v>7080</v>
      </c>
      <c r="E81">
        <v>7752</v>
      </c>
      <c r="F81" s="19">
        <f t="shared" si="1"/>
        <v>1.0949152542372882</v>
      </c>
      <c r="G81" s="49">
        <v>1.0949152542372882</v>
      </c>
      <c r="H81" t="s">
        <v>60</v>
      </c>
      <c r="I81" t="s">
        <v>58</v>
      </c>
      <c r="J81">
        <v>60</v>
      </c>
    </row>
    <row r="82" spans="1:11" x14ac:dyDescent="0.3">
      <c r="A82" s="1">
        <v>45986</v>
      </c>
      <c r="B82" t="s">
        <v>51</v>
      </c>
      <c r="C82" s="19">
        <v>0.6</v>
      </c>
      <c r="D82">
        <v>0</v>
      </c>
      <c r="E82">
        <v>0</v>
      </c>
      <c r="F82" s="19" t="e">
        <f t="shared" si="1"/>
        <v>#N/A</v>
      </c>
      <c r="G82" s="49" t="e">
        <v>#N/A</v>
      </c>
      <c r="I82" t="s">
        <v>58</v>
      </c>
    </row>
    <row r="83" spans="1:11" x14ac:dyDescent="0.3">
      <c r="A83" s="1">
        <v>45986</v>
      </c>
      <c r="B83" t="s">
        <v>52</v>
      </c>
      <c r="C83" s="19">
        <v>0.46</v>
      </c>
      <c r="D83">
        <v>127575</v>
      </c>
      <c r="E83">
        <v>118630</v>
      </c>
      <c r="F83" s="19">
        <f t="shared" si="1"/>
        <v>0.92988438173623356</v>
      </c>
      <c r="G83" s="49">
        <v>0.92988438173623356</v>
      </c>
      <c r="H83" t="s">
        <v>58</v>
      </c>
      <c r="I83" t="s">
        <v>58</v>
      </c>
      <c r="J83">
        <v>60</v>
      </c>
    </row>
    <row r="84" spans="1:11" x14ac:dyDescent="0.3">
      <c r="A84" s="1">
        <v>45986</v>
      </c>
      <c r="B84" t="s">
        <v>53</v>
      </c>
      <c r="C84" s="19">
        <v>0</v>
      </c>
      <c r="D84">
        <v>0</v>
      </c>
      <c r="E84">
        <v>0</v>
      </c>
      <c r="F84" s="19" t="e">
        <f t="shared" si="1"/>
        <v>#N/A</v>
      </c>
      <c r="G84" s="49" t="e">
        <v>#N/A</v>
      </c>
      <c r="H84" t="s">
        <v>60</v>
      </c>
    </row>
    <row r="85" spans="1:11" x14ac:dyDescent="0.3">
      <c r="A85" s="1">
        <v>45986</v>
      </c>
      <c r="B85" t="s">
        <v>54</v>
      </c>
      <c r="C85" s="19">
        <v>0.6</v>
      </c>
      <c r="D85">
        <v>15000</v>
      </c>
      <c r="E85">
        <v>15036</v>
      </c>
      <c r="F85" s="19">
        <f t="shared" si="1"/>
        <v>1.0024</v>
      </c>
      <c r="G85" s="49">
        <v>1.0024</v>
      </c>
      <c r="H85" t="s">
        <v>60</v>
      </c>
      <c r="I85" t="s">
        <v>58</v>
      </c>
      <c r="J85">
        <v>20</v>
      </c>
    </row>
    <row r="86" spans="1:11" x14ac:dyDescent="0.3">
      <c r="A86" s="1">
        <v>45994</v>
      </c>
      <c r="B86" t="s">
        <v>48</v>
      </c>
      <c r="C86" s="19">
        <v>0</v>
      </c>
      <c r="D86">
        <v>27150</v>
      </c>
      <c r="E86">
        <v>26801</v>
      </c>
      <c r="F86" s="19">
        <f t="shared" si="1"/>
        <v>0.98714548802946589</v>
      </c>
      <c r="G86" s="49">
        <v>0.98714548802946589</v>
      </c>
      <c r="K86" t="s">
        <v>72</v>
      </c>
    </row>
    <row r="87" spans="1:11" x14ac:dyDescent="0.3">
      <c r="A87" s="1">
        <v>45994</v>
      </c>
      <c r="B87" t="s">
        <v>50</v>
      </c>
      <c r="C87" s="19">
        <v>0.45</v>
      </c>
      <c r="D87">
        <v>8820</v>
      </c>
      <c r="E87">
        <v>7497</v>
      </c>
      <c r="F87" s="19">
        <f t="shared" si="1"/>
        <v>0.85</v>
      </c>
      <c r="G87" s="49">
        <v>0.85</v>
      </c>
      <c r="H87" t="s">
        <v>60</v>
      </c>
      <c r="I87" t="s">
        <v>58</v>
      </c>
      <c r="J87">
        <v>120</v>
      </c>
    </row>
    <row r="88" spans="1:11" x14ac:dyDescent="0.3">
      <c r="A88" s="1">
        <v>45994</v>
      </c>
      <c r="B88" t="s">
        <v>51</v>
      </c>
      <c r="C88" s="19">
        <v>0.52</v>
      </c>
      <c r="D88">
        <v>26964</v>
      </c>
      <c r="E88">
        <v>27016</v>
      </c>
      <c r="F88" s="19">
        <f t="shared" si="1"/>
        <v>1.0019284972556</v>
      </c>
      <c r="G88" s="49">
        <v>1.0019284972556</v>
      </c>
      <c r="H88" t="s">
        <v>58</v>
      </c>
      <c r="I88" t="s">
        <v>58</v>
      </c>
      <c r="J88">
        <v>140</v>
      </c>
    </row>
    <row r="89" spans="1:11" x14ac:dyDescent="0.3">
      <c r="A89" s="1">
        <v>45994</v>
      </c>
      <c r="B89" t="s">
        <v>52</v>
      </c>
      <c r="C89" s="19">
        <v>0.61</v>
      </c>
      <c r="D89">
        <v>97975</v>
      </c>
      <c r="E89">
        <v>59846</v>
      </c>
      <c r="F89" s="19">
        <f t="shared" si="1"/>
        <v>0.61082929318703749</v>
      </c>
      <c r="G89" s="49">
        <v>0.61082929318703749</v>
      </c>
      <c r="H89" t="s">
        <v>58</v>
      </c>
      <c r="I89" t="s">
        <v>58</v>
      </c>
      <c r="J89">
        <v>105</v>
      </c>
    </row>
    <row r="90" spans="1:11" x14ac:dyDescent="0.3">
      <c r="A90" s="1">
        <v>45994</v>
      </c>
      <c r="B90" t="s">
        <v>53</v>
      </c>
      <c r="C90" s="19">
        <v>0</v>
      </c>
      <c r="D90">
        <v>0</v>
      </c>
      <c r="E90">
        <v>0</v>
      </c>
      <c r="F90" s="19" t="e">
        <f t="shared" si="1"/>
        <v>#N/A</v>
      </c>
      <c r="G90" s="49" t="e">
        <v>#N/A</v>
      </c>
    </row>
    <row r="91" spans="1:11" x14ac:dyDescent="0.3">
      <c r="A91" s="1">
        <v>45994</v>
      </c>
      <c r="B91" t="s">
        <v>54</v>
      </c>
      <c r="C91" s="19">
        <v>0.52</v>
      </c>
      <c r="D91">
        <v>21506</v>
      </c>
      <c r="E91">
        <v>21371</v>
      </c>
      <c r="F91" s="19">
        <f t="shared" si="1"/>
        <v>0.99372268204222081</v>
      </c>
      <c r="G91" s="49">
        <v>0.99372268204222081</v>
      </c>
      <c r="H91" t="s">
        <v>60</v>
      </c>
      <c r="I91" t="s">
        <v>58</v>
      </c>
      <c r="J91">
        <v>80</v>
      </c>
    </row>
    <row r="92" spans="1:11" x14ac:dyDescent="0.3">
      <c r="A92" s="1">
        <v>45995</v>
      </c>
      <c r="B92" t="s">
        <v>48</v>
      </c>
      <c r="C92" s="19">
        <v>0</v>
      </c>
      <c r="D92">
        <v>23278</v>
      </c>
      <c r="E92">
        <v>18525</v>
      </c>
      <c r="F92" s="19">
        <f t="shared" si="1"/>
        <v>0.79581579173468509</v>
      </c>
      <c r="G92" s="49">
        <v>0.79581579173468509</v>
      </c>
      <c r="K92" t="s">
        <v>73</v>
      </c>
    </row>
    <row r="93" spans="1:11" x14ac:dyDescent="0.3">
      <c r="A93" s="1">
        <v>45995</v>
      </c>
      <c r="B93" t="s">
        <v>50</v>
      </c>
      <c r="C93" s="19">
        <v>0.98</v>
      </c>
      <c r="D93">
        <v>10310</v>
      </c>
      <c r="E93">
        <v>9802</v>
      </c>
      <c r="F93" s="19">
        <f t="shared" si="1"/>
        <v>0.95072744907856455</v>
      </c>
      <c r="G93" s="49">
        <v>0.95072744907856455</v>
      </c>
      <c r="H93" t="s">
        <v>60</v>
      </c>
      <c r="I93" t="s">
        <v>58</v>
      </c>
      <c r="J93">
        <v>55</v>
      </c>
    </row>
    <row r="94" spans="1:11" x14ac:dyDescent="0.3">
      <c r="A94" s="1">
        <v>45995</v>
      </c>
      <c r="B94" t="s">
        <v>51</v>
      </c>
      <c r="C94" s="19">
        <v>0.6</v>
      </c>
      <c r="D94">
        <v>23100</v>
      </c>
      <c r="E94">
        <v>23163</v>
      </c>
      <c r="F94" s="19">
        <f t="shared" si="1"/>
        <v>1.0027272727272727</v>
      </c>
      <c r="G94" s="49">
        <v>1.0027272727272727</v>
      </c>
      <c r="H94" t="s">
        <v>60</v>
      </c>
      <c r="I94" t="s">
        <v>58</v>
      </c>
    </row>
    <row r="95" spans="1:11" x14ac:dyDescent="0.3">
      <c r="A95" s="1">
        <v>45995</v>
      </c>
      <c r="B95" t="s">
        <v>52</v>
      </c>
      <c r="C95" s="19">
        <v>0.53</v>
      </c>
      <c r="D95">
        <v>124805</v>
      </c>
      <c r="E95">
        <v>67443</v>
      </c>
      <c r="F95" s="19">
        <f t="shared" si="1"/>
        <v>0.54038700372581228</v>
      </c>
      <c r="G95" s="49">
        <v>0.54038700372581228</v>
      </c>
      <c r="H95" t="s">
        <v>60</v>
      </c>
      <c r="I95" t="s">
        <v>58</v>
      </c>
      <c r="J95">
        <v>60</v>
      </c>
    </row>
    <row r="96" spans="1:11" x14ac:dyDescent="0.3">
      <c r="A96" s="1">
        <v>45995</v>
      </c>
      <c r="B96" t="s">
        <v>53</v>
      </c>
      <c r="C96" s="19">
        <v>0</v>
      </c>
      <c r="D96">
        <v>0</v>
      </c>
      <c r="E96">
        <v>0</v>
      </c>
      <c r="F96" s="19" t="e">
        <f t="shared" si="1"/>
        <v>#N/A</v>
      </c>
      <c r="G96" s="49" t="e">
        <v>#N/A</v>
      </c>
    </row>
    <row r="97" spans="1:10" x14ac:dyDescent="0.3">
      <c r="A97" s="1">
        <v>45995</v>
      </c>
      <c r="B97" t="s">
        <v>54</v>
      </c>
      <c r="C97" s="19">
        <v>0.6</v>
      </c>
      <c r="D97">
        <v>13084</v>
      </c>
      <c r="E97">
        <v>13407</v>
      </c>
      <c r="F97" s="19">
        <f t="shared" si="1"/>
        <v>1.0246866401712014</v>
      </c>
      <c r="G97" s="49">
        <v>1.0246866401712014</v>
      </c>
      <c r="H97" t="s">
        <v>60</v>
      </c>
      <c r="I97" t="s">
        <v>58</v>
      </c>
      <c r="J97">
        <v>30</v>
      </c>
    </row>
    <row r="98" spans="1:10" x14ac:dyDescent="0.3">
      <c r="A98" s="1">
        <v>45999</v>
      </c>
      <c r="B98" t="s">
        <v>48</v>
      </c>
      <c r="C98" s="19">
        <v>0</v>
      </c>
      <c r="D98">
        <v>0</v>
      </c>
      <c r="E98">
        <v>0</v>
      </c>
      <c r="F98" s="19" t="e">
        <f t="shared" si="1"/>
        <v>#N/A</v>
      </c>
      <c r="G98" s="49" t="e">
        <v>#N/A</v>
      </c>
    </row>
    <row r="99" spans="1:10" x14ac:dyDescent="0.3">
      <c r="A99" s="1">
        <v>45999</v>
      </c>
      <c r="B99" t="s">
        <v>50</v>
      </c>
      <c r="C99" s="19">
        <v>0</v>
      </c>
      <c r="D99">
        <v>0</v>
      </c>
      <c r="E99">
        <v>0</v>
      </c>
      <c r="F99" s="19" t="e">
        <f t="shared" si="1"/>
        <v>#N/A</v>
      </c>
      <c r="G99" s="49" t="e">
        <v>#N/A</v>
      </c>
      <c r="H99" t="s">
        <v>69</v>
      </c>
    </row>
    <row r="100" spans="1:10" x14ac:dyDescent="0.3">
      <c r="A100" s="1">
        <v>45999</v>
      </c>
      <c r="B100" t="s">
        <v>51</v>
      </c>
      <c r="C100" s="19">
        <v>0</v>
      </c>
      <c r="D100">
        <v>0</v>
      </c>
      <c r="E100">
        <v>0</v>
      </c>
      <c r="F100" s="19" t="e">
        <f t="shared" si="1"/>
        <v>#N/A</v>
      </c>
      <c r="G100" s="49" t="e">
        <v>#N/A</v>
      </c>
      <c r="H100" t="s">
        <v>58</v>
      </c>
    </row>
    <row r="101" spans="1:10" x14ac:dyDescent="0.3">
      <c r="A101" s="1">
        <v>45999</v>
      </c>
      <c r="B101" t="s">
        <v>52</v>
      </c>
      <c r="C101" s="19">
        <v>0.49</v>
      </c>
      <c r="D101">
        <v>62406</v>
      </c>
      <c r="E101">
        <v>49302</v>
      </c>
      <c r="F101" s="19">
        <f t="shared" si="1"/>
        <v>0.79002019036631088</v>
      </c>
      <c r="G101" s="49">
        <v>0.79002019036631088</v>
      </c>
      <c r="H101" t="s">
        <v>58</v>
      </c>
    </row>
    <row r="102" spans="1:10" x14ac:dyDescent="0.3">
      <c r="A102" s="1">
        <v>45999</v>
      </c>
      <c r="B102" t="s">
        <v>53</v>
      </c>
      <c r="C102" s="19">
        <v>0</v>
      </c>
      <c r="D102">
        <v>40026</v>
      </c>
      <c r="E102">
        <v>43347</v>
      </c>
      <c r="F102" s="19">
        <f t="shared" si="1"/>
        <v>1.0829710688052765</v>
      </c>
      <c r="G102" s="49">
        <v>1.0829710688052765</v>
      </c>
      <c r="H102" t="s">
        <v>69</v>
      </c>
    </row>
    <row r="103" spans="1:10" x14ac:dyDescent="0.3">
      <c r="A103" s="1">
        <v>45999</v>
      </c>
      <c r="B103" t="s">
        <v>54</v>
      </c>
      <c r="C103" s="19">
        <v>0</v>
      </c>
      <c r="D103">
        <v>0</v>
      </c>
      <c r="E103">
        <v>0</v>
      </c>
      <c r="F103" s="19" t="e">
        <f t="shared" si="1"/>
        <v>#N/A</v>
      </c>
      <c r="G103" s="49" t="e">
        <v>#N/A</v>
      </c>
      <c r="H103" t="s">
        <v>58</v>
      </c>
    </row>
    <row r="104" spans="1:10" x14ac:dyDescent="0.3">
      <c r="A104" s="1">
        <v>46000</v>
      </c>
      <c r="B104" t="s">
        <v>48</v>
      </c>
      <c r="C104" s="19">
        <v>0</v>
      </c>
      <c r="D104">
        <v>0</v>
      </c>
      <c r="E104">
        <v>0</v>
      </c>
      <c r="F104" s="19" t="e">
        <f t="shared" si="1"/>
        <v>#N/A</v>
      </c>
      <c r="G104" s="49" t="e">
        <v>#N/A</v>
      </c>
    </row>
    <row r="105" spans="1:10" x14ac:dyDescent="0.3">
      <c r="A105" s="1">
        <v>46000</v>
      </c>
      <c r="B105" t="s">
        <v>50</v>
      </c>
      <c r="C105" s="19">
        <v>0</v>
      </c>
      <c r="D105">
        <v>0</v>
      </c>
      <c r="E105">
        <v>0</v>
      </c>
      <c r="F105" s="19" t="e">
        <f t="shared" si="1"/>
        <v>#N/A</v>
      </c>
      <c r="G105" s="49" t="e">
        <v>#N/A</v>
      </c>
      <c r="H105" t="s">
        <v>69</v>
      </c>
    </row>
    <row r="106" spans="1:10" x14ac:dyDescent="0.3">
      <c r="A106" s="1">
        <v>46000</v>
      </c>
      <c r="B106" t="s">
        <v>51</v>
      </c>
      <c r="C106" s="19">
        <v>0</v>
      </c>
      <c r="D106">
        <v>0</v>
      </c>
      <c r="E106">
        <v>0</v>
      </c>
      <c r="F106" s="19" t="e">
        <f t="shared" si="1"/>
        <v>#N/A</v>
      </c>
      <c r="G106" s="49" t="e">
        <v>#N/A</v>
      </c>
      <c r="H106" t="s">
        <v>58</v>
      </c>
    </row>
    <row r="107" spans="1:10" x14ac:dyDescent="0.3">
      <c r="A107" s="1">
        <v>46000</v>
      </c>
      <c r="B107" t="s">
        <v>52</v>
      </c>
      <c r="C107" s="19">
        <v>0.49</v>
      </c>
      <c r="D107">
        <v>62406</v>
      </c>
      <c r="E107">
        <v>49302</v>
      </c>
      <c r="F107" s="19">
        <f t="shared" si="1"/>
        <v>0.79002019036631088</v>
      </c>
      <c r="G107" s="49">
        <v>0.79002019036631088</v>
      </c>
      <c r="H107" t="s">
        <v>58</v>
      </c>
    </row>
    <row r="108" spans="1:10" x14ac:dyDescent="0.3">
      <c r="A108" s="1">
        <v>46000</v>
      </c>
      <c r="B108" t="s">
        <v>53</v>
      </c>
      <c r="C108" s="19">
        <v>0</v>
      </c>
      <c r="D108">
        <v>40026</v>
      </c>
      <c r="E108">
        <v>43347</v>
      </c>
      <c r="F108" s="19">
        <f t="shared" si="1"/>
        <v>1.0829710688052765</v>
      </c>
      <c r="G108" s="49">
        <v>1.0829710688052765</v>
      </c>
      <c r="H108" t="s">
        <v>69</v>
      </c>
    </row>
    <row r="109" spans="1:10" x14ac:dyDescent="0.3">
      <c r="A109" s="1">
        <v>46000</v>
      </c>
      <c r="B109" t="s">
        <v>54</v>
      </c>
      <c r="C109" s="19">
        <v>0</v>
      </c>
      <c r="D109">
        <v>0</v>
      </c>
      <c r="E109">
        <v>0</v>
      </c>
      <c r="F109" s="19" t="e">
        <f t="shared" si="1"/>
        <v>#N/A</v>
      </c>
      <c r="G109" s="49" t="e">
        <v>#N/A</v>
      </c>
      <c r="H109" t="s">
        <v>58</v>
      </c>
    </row>
    <row r="110" spans="1:10" x14ac:dyDescent="0.3">
      <c r="A110" s="1">
        <v>46001</v>
      </c>
      <c r="B110" t="s">
        <v>48</v>
      </c>
      <c r="C110" s="19">
        <v>0</v>
      </c>
      <c r="D110">
        <v>18365</v>
      </c>
      <c r="E110">
        <v>16107</v>
      </c>
      <c r="F110" s="19">
        <f t="shared" si="1"/>
        <v>0.87704873400490058</v>
      </c>
      <c r="G110" s="49">
        <v>0.87704873400490058</v>
      </c>
    </row>
    <row r="111" spans="1:10" x14ac:dyDescent="0.3">
      <c r="A111" s="1">
        <v>46001</v>
      </c>
      <c r="B111" t="s">
        <v>50</v>
      </c>
      <c r="C111" s="19">
        <v>0</v>
      </c>
      <c r="D111">
        <v>0</v>
      </c>
      <c r="E111">
        <v>0</v>
      </c>
      <c r="F111" s="19" t="e">
        <f t="shared" si="1"/>
        <v>#N/A</v>
      </c>
      <c r="G111" s="49" t="e">
        <v>#N/A</v>
      </c>
      <c r="H111" t="s">
        <v>60</v>
      </c>
      <c r="J111">
        <v>20</v>
      </c>
    </row>
    <row r="112" spans="1:10" x14ac:dyDescent="0.3">
      <c r="A112" s="1">
        <v>46001</v>
      </c>
      <c r="B112" t="s">
        <v>51</v>
      </c>
      <c r="C112" s="19">
        <v>0.66</v>
      </c>
      <c r="D112">
        <v>26250</v>
      </c>
      <c r="E112">
        <v>26250</v>
      </c>
      <c r="F112" s="19">
        <f t="shared" si="1"/>
        <v>1</v>
      </c>
      <c r="G112" s="49">
        <v>1</v>
      </c>
      <c r="H112" t="s">
        <v>58</v>
      </c>
      <c r="I112" t="s">
        <v>58</v>
      </c>
    </row>
    <row r="113" spans="1:12" x14ac:dyDescent="0.3">
      <c r="A113" s="1">
        <v>46001</v>
      </c>
      <c r="B113" t="s">
        <v>52</v>
      </c>
      <c r="C113" s="19">
        <v>0.51</v>
      </c>
      <c r="D113">
        <v>98032</v>
      </c>
      <c r="E113">
        <v>87347</v>
      </c>
      <c r="F113" s="19">
        <f t="shared" si="1"/>
        <v>0.89100497796637834</v>
      </c>
      <c r="G113" s="49">
        <v>0.89100497796637834</v>
      </c>
      <c r="H113" t="s">
        <v>60</v>
      </c>
      <c r="I113" t="s">
        <v>58</v>
      </c>
      <c r="J113">
        <v>20</v>
      </c>
    </row>
    <row r="114" spans="1:12" x14ac:dyDescent="0.3">
      <c r="A114" s="1">
        <v>46001</v>
      </c>
      <c r="B114" t="s">
        <v>53</v>
      </c>
      <c r="C114" s="19">
        <v>0</v>
      </c>
      <c r="D114">
        <v>0</v>
      </c>
      <c r="E114">
        <v>0</v>
      </c>
      <c r="F114" s="19" t="e">
        <f t="shared" si="1"/>
        <v>#N/A</v>
      </c>
      <c r="G114" s="49" t="e">
        <v>#N/A</v>
      </c>
      <c r="H114" t="s">
        <v>69</v>
      </c>
    </row>
    <row r="115" spans="1:12" x14ac:dyDescent="0.3">
      <c r="A115" s="1">
        <v>46001</v>
      </c>
      <c r="B115" t="s">
        <v>54</v>
      </c>
      <c r="C115" s="19">
        <v>0.53</v>
      </c>
      <c r="D115">
        <v>26250</v>
      </c>
      <c r="E115">
        <v>26334</v>
      </c>
      <c r="F115" s="19">
        <f t="shared" si="1"/>
        <v>1.0032000000000001</v>
      </c>
      <c r="G115" s="49">
        <v>1.0032000000000001</v>
      </c>
      <c r="H115" t="s">
        <v>60</v>
      </c>
      <c r="I115" t="s">
        <v>58</v>
      </c>
      <c r="K115" t="s">
        <v>74</v>
      </c>
      <c r="L115" t="s">
        <v>75</v>
      </c>
    </row>
    <row r="116" spans="1:12" x14ac:dyDescent="0.3">
      <c r="A116" s="1">
        <v>46002</v>
      </c>
      <c r="B116" t="s">
        <v>48</v>
      </c>
      <c r="C116" s="19">
        <v>0</v>
      </c>
      <c r="D116">
        <v>24730</v>
      </c>
      <c r="E116">
        <v>24881</v>
      </c>
      <c r="F116" s="19">
        <f t="shared" si="1"/>
        <v>1.0061059441973312</v>
      </c>
      <c r="G116" s="49">
        <v>1.0061059441973312</v>
      </c>
    </row>
    <row r="117" spans="1:12" x14ac:dyDescent="0.3">
      <c r="A117" s="1">
        <v>46002</v>
      </c>
      <c r="B117" t="s">
        <v>50</v>
      </c>
      <c r="C117" s="19">
        <v>0.81</v>
      </c>
      <c r="D117">
        <v>9100</v>
      </c>
      <c r="E117">
        <v>10570</v>
      </c>
      <c r="F117" s="19">
        <f t="shared" si="1"/>
        <v>1.1615384615384616</v>
      </c>
      <c r="G117" s="49">
        <v>1.1615384615384616</v>
      </c>
      <c r="H117" t="s">
        <v>58</v>
      </c>
      <c r="I117" t="s">
        <v>58</v>
      </c>
    </row>
    <row r="118" spans="1:12" x14ac:dyDescent="0.3">
      <c r="A118" s="1">
        <v>46002</v>
      </c>
      <c r="B118" t="s">
        <v>51</v>
      </c>
      <c r="C118" s="19">
        <v>0.59</v>
      </c>
      <c r="D118">
        <v>25200</v>
      </c>
      <c r="E118">
        <v>25526</v>
      </c>
      <c r="F118" s="19">
        <f t="shared" si="1"/>
        <v>1.012936507936508</v>
      </c>
      <c r="G118" s="49">
        <v>1.012936507936508</v>
      </c>
      <c r="H118" t="s">
        <v>58</v>
      </c>
      <c r="I118" t="s">
        <v>58</v>
      </c>
    </row>
    <row r="119" spans="1:12" x14ac:dyDescent="0.3">
      <c r="A119" s="1">
        <v>46002</v>
      </c>
      <c r="B119" t="s">
        <v>52</v>
      </c>
      <c r="C119" s="19">
        <v>0.65</v>
      </c>
      <c r="D119">
        <v>113614</v>
      </c>
      <c r="E119">
        <v>116132</v>
      </c>
      <c r="F119" s="19">
        <f t="shared" si="1"/>
        <v>1.022162761631489</v>
      </c>
      <c r="G119" s="49">
        <v>1.022162761631489</v>
      </c>
      <c r="H119" t="s">
        <v>58</v>
      </c>
      <c r="I119" t="s">
        <v>58</v>
      </c>
    </row>
    <row r="120" spans="1:12" x14ac:dyDescent="0.3">
      <c r="A120" s="1">
        <v>46002</v>
      </c>
      <c r="B120" t="s">
        <v>53</v>
      </c>
      <c r="C120" s="19">
        <v>0</v>
      </c>
      <c r="D120">
        <v>0</v>
      </c>
      <c r="E120">
        <v>0</v>
      </c>
      <c r="F120" s="19" t="e">
        <f t="shared" si="1"/>
        <v>#N/A</v>
      </c>
      <c r="G120" s="49" t="e">
        <v>#N/A</v>
      </c>
      <c r="H120" t="s">
        <v>60</v>
      </c>
      <c r="I120" t="s">
        <v>60</v>
      </c>
    </row>
    <row r="121" spans="1:12" x14ac:dyDescent="0.3">
      <c r="A121" s="1">
        <v>46002</v>
      </c>
      <c r="B121" t="s">
        <v>54</v>
      </c>
      <c r="C121" s="19">
        <v>0.66</v>
      </c>
      <c r="D121">
        <v>13875</v>
      </c>
      <c r="E121">
        <v>12782</v>
      </c>
      <c r="F121" s="19">
        <f t="shared" si="1"/>
        <v>0.92122522522522521</v>
      </c>
      <c r="G121" s="49">
        <v>0.92122522522522521</v>
      </c>
      <c r="H121" t="s">
        <v>58</v>
      </c>
      <c r="I121" t="s">
        <v>58</v>
      </c>
    </row>
    <row r="122" spans="1:12" x14ac:dyDescent="0.3">
      <c r="A122" s="1">
        <v>46003</v>
      </c>
      <c r="B122" t="s">
        <v>48</v>
      </c>
      <c r="C122" s="19">
        <v>0</v>
      </c>
      <c r="D122">
        <v>30531</v>
      </c>
      <c r="E122">
        <v>32337</v>
      </c>
      <c r="F122" s="19">
        <f t="shared" si="1"/>
        <v>1.0591529920408764</v>
      </c>
      <c r="G122" s="49">
        <v>1.0591529920408764</v>
      </c>
    </row>
    <row r="123" spans="1:12" x14ac:dyDescent="0.3">
      <c r="A123" s="1">
        <v>46003</v>
      </c>
      <c r="B123" t="s">
        <v>50</v>
      </c>
      <c r="C123" s="19">
        <v>0.63</v>
      </c>
      <c r="D123">
        <v>17100</v>
      </c>
      <c r="E123">
        <v>14563</v>
      </c>
      <c r="F123" s="19">
        <f t="shared" si="1"/>
        <v>0.85163742690058475</v>
      </c>
      <c r="G123" s="49">
        <v>0.85163742690058475</v>
      </c>
      <c r="H123" t="s">
        <v>58</v>
      </c>
      <c r="I123" t="s">
        <v>58</v>
      </c>
      <c r="J123">
        <v>90</v>
      </c>
      <c r="K123" t="s">
        <v>76</v>
      </c>
    </row>
    <row r="124" spans="1:12" x14ac:dyDescent="0.3">
      <c r="A124" s="1">
        <v>46003</v>
      </c>
      <c r="B124" t="s">
        <v>51</v>
      </c>
      <c r="C124" s="19" t="s">
        <v>69</v>
      </c>
      <c r="D124">
        <v>0</v>
      </c>
      <c r="E124">
        <v>0</v>
      </c>
      <c r="F124" s="19" t="e">
        <f t="shared" si="1"/>
        <v>#N/A</v>
      </c>
      <c r="G124" s="49" t="e">
        <v>#N/A</v>
      </c>
      <c r="H124" t="s">
        <v>60</v>
      </c>
      <c r="I124" t="s">
        <v>60</v>
      </c>
      <c r="J124" t="s">
        <v>69</v>
      </c>
    </row>
    <row r="125" spans="1:12" x14ac:dyDescent="0.3">
      <c r="A125" s="1">
        <v>46003</v>
      </c>
      <c r="B125" t="s">
        <v>52</v>
      </c>
      <c r="C125" s="19">
        <v>0.64</v>
      </c>
      <c r="D125">
        <v>83250</v>
      </c>
      <c r="E125">
        <v>86381</v>
      </c>
      <c r="F125" s="19">
        <f t="shared" si="1"/>
        <v>1.0376096096096097</v>
      </c>
      <c r="G125" s="49">
        <v>1.0376096096096097</v>
      </c>
      <c r="H125" t="s">
        <v>58</v>
      </c>
      <c r="I125" t="s">
        <v>58</v>
      </c>
    </row>
    <row r="126" spans="1:12" x14ac:dyDescent="0.3">
      <c r="A126" s="1">
        <v>46003</v>
      </c>
      <c r="B126" t="s">
        <v>53</v>
      </c>
      <c r="C126" s="19">
        <v>0.23</v>
      </c>
      <c r="D126">
        <v>40500</v>
      </c>
      <c r="E126">
        <v>42198</v>
      </c>
      <c r="F126" s="19">
        <f t="shared" si="1"/>
        <v>1.0419259259259259</v>
      </c>
      <c r="G126" s="49">
        <v>1.0419259259259259</v>
      </c>
      <c r="H126" t="s">
        <v>69</v>
      </c>
      <c r="I126" t="s">
        <v>69</v>
      </c>
      <c r="J126">
        <v>240</v>
      </c>
      <c r="K126" t="s">
        <v>76</v>
      </c>
    </row>
    <row r="127" spans="1:12" x14ac:dyDescent="0.3">
      <c r="A127" s="1">
        <v>46003</v>
      </c>
      <c r="B127" t="s">
        <v>54</v>
      </c>
      <c r="C127" s="19">
        <v>0.7</v>
      </c>
      <c r="D127">
        <v>13067</v>
      </c>
      <c r="E127">
        <v>12236</v>
      </c>
      <c r="F127" s="19">
        <f t="shared" si="1"/>
        <v>0.93640468355399098</v>
      </c>
      <c r="G127" s="49">
        <v>0.93640468355399098</v>
      </c>
      <c r="H127" t="s">
        <v>60</v>
      </c>
      <c r="I127" t="s">
        <v>60</v>
      </c>
      <c r="J127">
        <v>120</v>
      </c>
      <c r="K127" t="s">
        <v>76</v>
      </c>
      <c r="L127" t="s">
        <v>49</v>
      </c>
    </row>
    <row r="128" spans="1:12" x14ac:dyDescent="0.3">
      <c r="A128" s="1">
        <v>46004</v>
      </c>
      <c r="B128" t="s">
        <v>48</v>
      </c>
      <c r="C128" s="19">
        <v>0</v>
      </c>
      <c r="D128">
        <v>28492</v>
      </c>
      <c r="E128">
        <v>28949</v>
      </c>
      <c r="F128" s="19">
        <f t="shared" si="1"/>
        <v>1.0160395900603678</v>
      </c>
      <c r="G128" s="49">
        <v>1.0160395900603678</v>
      </c>
    </row>
    <row r="129" spans="1:12" x14ac:dyDescent="0.3">
      <c r="A129" s="1">
        <v>46004</v>
      </c>
      <c r="B129" t="s">
        <v>50</v>
      </c>
      <c r="C129" s="19">
        <v>0.65</v>
      </c>
      <c r="D129">
        <v>6470</v>
      </c>
      <c r="E129">
        <v>6430</v>
      </c>
      <c r="F129" s="19">
        <f t="shared" si="1"/>
        <v>0.99381761978361671</v>
      </c>
      <c r="G129" s="49">
        <v>0.99381761978361671</v>
      </c>
      <c r="H129" t="s">
        <v>58</v>
      </c>
      <c r="I129" t="s">
        <v>58</v>
      </c>
      <c r="J129">
        <v>90</v>
      </c>
      <c r="K129" t="s">
        <v>76</v>
      </c>
    </row>
    <row r="130" spans="1:12" x14ac:dyDescent="0.3">
      <c r="A130" s="1">
        <v>46004</v>
      </c>
      <c r="B130" t="s">
        <v>51</v>
      </c>
      <c r="C130" s="19">
        <v>0.63</v>
      </c>
      <c r="D130">
        <v>26250</v>
      </c>
      <c r="E130">
        <v>26292</v>
      </c>
      <c r="F130" s="19">
        <f t="shared" si="1"/>
        <v>1.0016</v>
      </c>
      <c r="G130" s="49">
        <v>1.0016</v>
      </c>
      <c r="H130" t="s">
        <v>60</v>
      </c>
      <c r="I130" t="s">
        <v>60</v>
      </c>
      <c r="J130" t="s">
        <v>69</v>
      </c>
    </row>
    <row r="131" spans="1:12" x14ac:dyDescent="0.3">
      <c r="A131" s="1">
        <v>46004</v>
      </c>
      <c r="B131" t="s">
        <v>52</v>
      </c>
      <c r="C131" s="19">
        <v>0.4</v>
      </c>
      <c r="D131">
        <v>86700</v>
      </c>
      <c r="E131">
        <v>88080</v>
      </c>
      <c r="F131" s="19">
        <f t="shared" ref="F131:F153" si="2">IFERROR(E131/D131, NA())</f>
        <v>1.0159169550173011</v>
      </c>
      <c r="G131" s="49">
        <v>1.0159169550173011</v>
      </c>
      <c r="H131" t="s">
        <v>58</v>
      </c>
      <c r="I131" t="s">
        <v>58</v>
      </c>
    </row>
    <row r="132" spans="1:12" x14ac:dyDescent="0.3">
      <c r="A132" s="1">
        <v>46004</v>
      </c>
      <c r="B132" t="s">
        <v>53</v>
      </c>
      <c r="C132" s="19" t="s">
        <v>69</v>
      </c>
      <c r="D132">
        <v>0</v>
      </c>
      <c r="E132">
        <v>0</v>
      </c>
      <c r="F132" s="19" t="e">
        <f t="shared" si="2"/>
        <v>#N/A</v>
      </c>
      <c r="G132" s="49" t="e">
        <v>#N/A</v>
      </c>
      <c r="H132" t="s">
        <v>69</v>
      </c>
      <c r="I132" t="s">
        <v>69</v>
      </c>
      <c r="J132">
        <v>240</v>
      </c>
      <c r="K132" t="s">
        <v>76</v>
      </c>
    </row>
    <row r="133" spans="1:12" x14ac:dyDescent="0.3">
      <c r="A133" s="1">
        <v>46004</v>
      </c>
      <c r="B133" t="s">
        <v>54</v>
      </c>
      <c r="C133" s="19" t="s">
        <v>69</v>
      </c>
      <c r="D133">
        <v>16888</v>
      </c>
      <c r="E133">
        <v>14820.8</v>
      </c>
      <c r="F133" s="19">
        <f t="shared" si="2"/>
        <v>0.87759355755566082</v>
      </c>
      <c r="G133" s="49">
        <v>0.87759355755566082</v>
      </c>
      <c r="H133" t="s">
        <v>60</v>
      </c>
      <c r="I133" t="s">
        <v>60</v>
      </c>
      <c r="J133">
        <v>120</v>
      </c>
      <c r="K133" t="s">
        <v>76</v>
      </c>
      <c r="L133" t="s">
        <v>49</v>
      </c>
    </row>
    <row r="134" spans="1:12" x14ac:dyDescent="0.3">
      <c r="A134" s="1">
        <v>46006</v>
      </c>
      <c r="B134" t="s">
        <v>48</v>
      </c>
      <c r="C134" s="19">
        <v>0.88200000000000001</v>
      </c>
      <c r="D134">
        <v>23158</v>
      </c>
      <c r="E134">
        <v>21876.75</v>
      </c>
      <c r="F134" s="19">
        <f t="shared" si="2"/>
        <v>0.94467354693842298</v>
      </c>
      <c r="G134" s="49">
        <v>0.94467354693842298</v>
      </c>
      <c r="H134" t="s">
        <v>60</v>
      </c>
      <c r="K134" t="s">
        <v>77</v>
      </c>
      <c r="L134" t="s">
        <v>78</v>
      </c>
    </row>
    <row r="135" spans="1:12" x14ac:dyDescent="0.3">
      <c r="A135" s="1">
        <v>46006</v>
      </c>
      <c r="B135" t="s">
        <v>50</v>
      </c>
      <c r="C135" s="19">
        <v>0.72</v>
      </c>
      <c r="D135">
        <v>5990</v>
      </c>
      <c r="E135">
        <v>6494</v>
      </c>
      <c r="F135" s="19">
        <f t="shared" si="2"/>
        <v>1.0841402337228714</v>
      </c>
      <c r="G135" s="49">
        <v>1.0841402337228714</v>
      </c>
      <c r="H135" t="s">
        <v>69</v>
      </c>
      <c r="I135" t="s">
        <v>58</v>
      </c>
      <c r="J135">
        <v>40</v>
      </c>
    </row>
    <row r="136" spans="1:12" x14ac:dyDescent="0.3">
      <c r="A136" s="1">
        <v>46006</v>
      </c>
      <c r="B136" t="s">
        <v>51</v>
      </c>
      <c r="C136" s="19">
        <v>0.72</v>
      </c>
      <c r="D136">
        <v>26250</v>
      </c>
      <c r="E136">
        <v>26324</v>
      </c>
      <c r="F136" s="19">
        <f t="shared" si="2"/>
        <v>1.0028190476190477</v>
      </c>
      <c r="G136" s="49">
        <v>1.0028190476190477</v>
      </c>
      <c r="H136" t="s">
        <v>60</v>
      </c>
      <c r="I136" t="s">
        <v>58</v>
      </c>
      <c r="J136">
        <v>0</v>
      </c>
    </row>
    <row r="137" spans="1:12" x14ac:dyDescent="0.3">
      <c r="A137" s="1">
        <v>46006</v>
      </c>
      <c r="B137" t="s">
        <v>52</v>
      </c>
      <c r="C137" s="19">
        <v>0.54</v>
      </c>
      <c r="D137">
        <v>96193</v>
      </c>
      <c r="E137">
        <v>92875</v>
      </c>
      <c r="F137" s="19">
        <f t="shared" si="2"/>
        <v>0.96550684561246658</v>
      </c>
      <c r="G137" s="49">
        <v>0.96550684561246658</v>
      </c>
      <c r="H137" t="s">
        <v>58</v>
      </c>
      <c r="I137" t="s">
        <v>58</v>
      </c>
      <c r="J137">
        <v>155</v>
      </c>
      <c r="K137" t="s">
        <v>77</v>
      </c>
    </row>
    <row r="138" spans="1:12" x14ac:dyDescent="0.3">
      <c r="A138" s="1">
        <v>46006</v>
      </c>
      <c r="B138" t="s">
        <v>53</v>
      </c>
      <c r="C138" s="19" t="s">
        <v>69</v>
      </c>
      <c r="D138" t="s">
        <v>69</v>
      </c>
      <c r="E138" t="s">
        <v>69</v>
      </c>
      <c r="F138" s="19" t="e">
        <f t="shared" si="2"/>
        <v>#N/A</v>
      </c>
      <c r="G138" s="49" t="e">
        <v>#N/A</v>
      </c>
      <c r="H138" t="s">
        <v>69</v>
      </c>
      <c r="I138" t="s">
        <v>69</v>
      </c>
      <c r="J138" t="s">
        <v>69</v>
      </c>
      <c r="L138" t="s">
        <v>78</v>
      </c>
    </row>
    <row r="139" spans="1:12" x14ac:dyDescent="0.3">
      <c r="A139" s="1">
        <v>46007</v>
      </c>
      <c r="B139" t="s">
        <v>54</v>
      </c>
      <c r="C139" s="19">
        <v>0.6</v>
      </c>
      <c r="D139">
        <v>30053</v>
      </c>
      <c r="E139">
        <v>29112</v>
      </c>
      <c r="F139" s="19">
        <f t="shared" si="2"/>
        <v>0.96868865005157556</v>
      </c>
      <c r="G139" s="49">
        <v>0.96868865005157556</v>
      </c>
      <c r="H139" t="s">
        <v>60</v>
      </c>
      <c r="I139" t="s">
        <v>58</v>
      </c>
      <c r="J139">
        <v>60</v>
      </c>
    </row>
    <row r="140" spans="1:12" x14ac:dyDescent="0.3">
      <c r="A140" s="1">
        <v>46007</v>
      </c>
      <c r="B140" t="s">
        <v>48</v>
      </c>
      <c r="C140" s="19">
        <v>0.92</v>
      </c>
      <c r="D140">
        <v>26934</v>
      </c>
      <c r="E140">
        <v>26715</v>
      </c>
      <c r="F140" s="19">
        <f t="shared" si="2"/>
        <v>0.99186901314323905</v>
      </c>
      <c r="G140" s="49">
        <v>0.99186901314323905</v>
      </c>
      <c r="H140" t="s">
        <v>58</v>
      </c>
      <c r="J140">
        <v>0</v>
      </c>
      <c r="K140" t="s">
        <v>79</v>
      </c>
    </row>
    <row r="141" spans="1:12" x14ac:dyDescent="0.3">
      <c r="A141" s="1">
        <v>46007</v>
      </c>
      <c r="B141" t="s">
        <v>50</v>
      </c>
      <c r="C141" s="19" t="s">
        <v>69</v>
      </c>
      <c r="D141" t="s">
        <v>69</v>
      </c>
      <c r="E141" t="s">
        <v>69</v>
      </c>
      <c r="F141" s="19" t="e">
        <f t="shared" si="2"/>
        <v>#N/A</v>
      </c>
      <c r="G141" s="49" t="e">
        <v>#N/A</v>
      </c>
      <c r="H141" t="s">
        <v>58</v>
      </c>
      <c r="I141" t="s">
        <v>69</v>
      </c>
      <c r="J141">
        <v>0</v>
      </c>
    </row>
    <row r="142" spans="1:12" x14ac:dyDescent="0.3">
      <c r="A142" s="1">
        <v>46007</v>
      </c>
      <c r="B142" t="s">
        <v>51</v>
      </c>
      <c r="C142" s="19">
        <v>0.62</v>
      </c>
      <c r="D142">
        <v>26250</v>
      </c>
      <c r="E142">
        <v>25400</v>
      </c>
      <c r="F142" s="19">
        <f t="shared" si="2"/>
        <v>0.9676190476190476</v>
      </c>
      <c r="G142" s="49">
        <v>0.9676190476190476</v>
      </c>
      <c r="H142" t="s">
        <v>60</v>
      </c>
      <c r="I142" t="s">
        <v>58</v>
      </c>
      <c r="J142">
        <v>60</v>
      </c>
      <c r="K142" t="s">
        <v>80</v>
      </c>
    </row>
    <row r="143" spans="1:12" x14ac:dyDescent="0.3">
      <c r="A143" s="1">
        <v>46007</v>
      </c>
      <c r="B143" t="s">
        <v>52</v>
      </c>
      <c r="C143" s="19">
        <v>0.61</v>
      </c>
      <c r="D143">
        <v>82452</v>
      </c>
      <c r="E143">
        <v>85866</v>
      </c>
      <c r="F143" s="19">
        <f t="shared" si="2"/>
        <v>1.0414059088924466</v>
      </c>
      <c r="G143" s="49">
        <v>1.0414059088924466</v>
      </c>
      <c r="H143" t="s">
        <v>58</v>
      </c>
      <c r="I143" t="s">
        <v>58</v>
      </c>
      <c r="J143">
        <v>90</v>
      </c>
    </row>
    <row r="144" spans="1:12" x14ac:dyDescent="0.3">
      <c r="A144" s="1">
        <v>46007</v>
      </c>
      <c r="B144" t="s">
        <v>53</v>
      </c>
      <c r="C144" s="19" t="s">
        <v>69</v>
      </c>
      <c r="D144" t="s">
        <v>69</v>
      </c>
      <c r="E144" t="s">
        <v>69</v>
      </c>
      <c r="F144" s="19" t="e">
        <f t="shared" si="2"/>
        <v>#N/A</v>
      </c>
      <c r="G144" s="49" t="e">
        <v>#N/A</v>
      </c>
      <c r="H144" t="s">
        <v>69</v>
      </c>
      <c r="I144" t="s">
        <v>69</v>
      </c>
      <c r="J144">
        <v>0</v>
      </c>
    </row>
    <row r="145" spans="1:12" x14ac:dyDescent="0.3">
      <c r="A145" s="1">
        <v>46007</v>
      </c>
      <c r="B145" t="s">
        <v>54</v>
      </c>
      <c r="C145" s="19">
        <v>0.59</v>
      </c>
      <c r="D145">
        <v>20854</v>
      </c>
      <c r="E145">
        <v>15724</v>
      </c>
      <c r="F145" s="19">
        <f t="shared" si="2"/>
        <v>0.75400402800421984</v>
      </c>
      <c r="G145" s="49">
        <v>0.75400402800421984</v>
      </c>
      <c r="H145" t="s">
        <v>58</v>
      </c>
      <c r="I145" t="s">
        <v>58</v>
      </c>
      <c r="J145">
        <v>30</v>
      </c>
    </row>
    <row r="146" spans="1:12" x14ac:dyDescent="0.3">
      <c r="A146" s="1">
        <v>46008</v>
      </c>
      <c r="B146" t="s">
        <v>48</v>
      </c>
      <c r="C146" s="19">
        <v>0.82</v>
      </c>
      <c r="D146">
        <v>18937</v>
      </c>
      <c r="E146">
        <v>16574</v>
      </c>
      <c r="F146" s="19">
        <f t="shared" si="2"/>
        <v>0.87521782753340027</v>
      </c>
      <c r="G146" s="49">
        <v>0.87521782753340027</v>
      </c>
      <c r="H146" t="s">
        <v>58</v>
      </c>
      <c r="K146" t="s">
        <v>81</v>
      </c>
    </row>
    <row r="147" spans="1:12" x14ac:dyDescent="0.3">
      <c r="A147" s="1">
        <v>46008</v>
      </c>
      <c r="B147" t="s">
        <v>50</v>
      </c>
      <c r="C147" s="19">
        <v>0.81</v>
      </c>
      <c r="D147">
        <v>8760</v>
      </c>
      <c r="E147">
        <v>10083</v>
      </c>
      <c r="F147" s="19">
        <f t="shared" si="2"/>
        <v>1.151027397260274</v>
      </c>
      <c r="G147" s="49">
        <v>1.151027397260274</v>
      </c>
      <c r="H147" t="s">
        <v>58</v>
      </c>
      <c r="I147" t="s">
        <v>58</v>
      </c>
      <c r="J147">
        <v>0</v>
      </c>
    </row>
    <row r="148" spans="1:12" x14ac:dyDescent="0.3">
      <c r="A148" s="1">
        <v>46008</v>
      </c>
      <c r="B148" t="s">
        <v>51</v>
      </c>
      <c r="C148" s="19">
        <v>0.59</v>
      </c>
      <c r="D148">
        <v>24150</v>
      </c>
      <c r="E148">
        <v>23142</v>
      </c>
      <c r="F148" s="19">
        <f t="shared" si="2"/>
        <v>0.95826086956521739</v>
      </c>
      <c r="G148" s="49">
        <v>0.95826086956521739</v>
      </c>
      <c r="H148" t="s">
        <v>60</v>
      </c>
      <c r="I148" t="s">
        <v>58</v>
      </c>
      <c r="J148">
        <v>105</v>
      </c>
    </row>
    <row r="149" spans="1:12" x14ac:dyDescent="0.3">
      <c r="A149" s="1">
        <v>46008</v>
      </c>
      <c r="B149" t="s">
        <v>52</v>
      </c>
      <c r="C149" s="19">
        <v>0.73</v>
      </c>
      <c r="D149">
        <v>95967</v>
      </c>
      <c r="E149">
        <v>103688</v>
      </c>
      <c r="F149" s="19">
        <f t="shared" si="2"/>
        <v>1.0804547396500881</v>
      </c>
      <c r="G149" s="49">
        <v>1.0804547396500881</v>
      </c>
      <c r="H149" t="s">
        <v>60</v>
      </c>
      <c r="I149" t="s">
        <v>58</v>
      </c>
      <c r="J149">
        <v>0</v>
      </c>
      <c r="K149" t="s">
        <v>82</v>
      </c>
    </row>
    <row r="150" spans="1:12" x14ac:dyDescent="0.3">
      <c r="A150" s="1">
        <v>46008</v>
      </c>
      <c r="B150" t="s">
        <v>53</v>
      </c>
      <c r="C150" s="19" t="s">
        <v>69</v>
      </c>
      <c r="D150" t="s">
        <v>69</v>
      </c>
      <c r="E150" t="s">
        <v>69</v>
      </c>
      <c r="F150" s="19" t="e">
        <f t="shared" si="2"/>
        <v>#N/A</v>
      </c>
      <c r="G150" s="49" t="e">
        <v>#N/A</v>
      </c>
      <c r="H150" t="s">
        <v>69</v>
      </c>
      <c r="I150" t="s">
        <v>69</v>
      </c>
      <c r="J150">
        <v>0</v>
      </c>
    </row>
    <row r="151" spans="1:12" x14ac:dyDescent="0.3">
      <c r="A151" s="1">
        <v>46008</v>
      </c>
      <c r="B151" t="s">
        <v>54</v>
      </c>
      <c r="C151" s="19">
        <v>0.67</v>
      </c>
      <c r="D151">
        <v>13671</v>
      </c>
      <c r="E151">
        <v>12743</v>
      </c>
      <c r="F151" s="19">
        <f t="shared" si="2"/>
        <v>0.93211908419281686</v>
      </c>
      <c r="G151" s="49">
        <v>0.93211908419281686</v>
      </c>
      <c r="H151" t="s">
        <v>58</v>
      </c>
      <c r="I151" t="s">
        <v>58</v>
      </c>
      <c r="J151">
        <v>15</v>
      </c>
    </row>
    <row r="152" spans="1:12" x14ac:dyDescent="0.3">
      <c r="A152" s="1">
        <v>46009</v>
      </c>
      <c r="B152" t="s">
        <v>48</v>
      </c>
      <c r="C152" s="19">
        <v>0.72</v>
      </c>
      <c r="D152">
        <v>38394</v>
      </c>
      <c r="E152">
        <v>32666</v>
      </c>
      <c r="F152" s="19">
        <f t="shared" si="2"/>
        <v>0.85081002239933323</v>
      </c>
      <c r="G152" s="49">
        <v>0.85</v>
      </c>
    </row>
    <row r="153" spans="1:12" x14ac:dyDescent="0.3">
      <c r="A153" s="1">
        <v>46009</v>
      </c>
      <c r="B153" t="s">
        <v>50</v>
      </c>
      <c r="C153" s="19">
        <v>0.72</v>
      </c>
      <c r="D153">
        <v>14850</v>
      </c>
      <c r="E153">
        <v>5778</v>
      </c>
      <c r="F153" s="19">
        <f t="shared" si="2"/>
        <v>0.3890909090909091</v>
      </c>
      <c r="G153" s="49">
        <v>0.39</v>
      </c>
      <c r="H153" t="s">
        <v>69</v>
      </c>
      <c r="I153" t="s">
        <v>58</v>
      </c>
    </row>
    <row r="154" spans="1:12" x14ac:dyDescent="0.3">
      <c r="A154" s="1">
        <v>46009</v>
      </c>
      <c r="B154" t="s">
        <v>51</v>
      </c>
      <c r="C154" s="19">
        <v>0.68</v>
      </c>
      <c r="D154">
        <v>23100</v>
      </c>
      <c r="E154">
        <v>23131</v>
      </c>
      <c r="G154" s="49">
        <v>1</v>
      </c>
      <c r="H154" t="s">
        <v>60</v>
      </c>
      <c r="I154" t="s">
        <v>58</v>
      </c>
      <c r="J154">
        <v>95</v>
      </c>
      <c r="K154" t="s">
        <v>83</v>
      </c>
    </row>
    <row r="155" spans="1:12" x14ac:dyDescent="0.3">
      <c r="A155" s="1">
        <v>46009</v>
      </c>
      <c r="B155" t="s">
        <v>52</v>
      </c>
      <c r="C155" s="19">
        <v>0.59</v>
      </c>
      <c r="D155">
        <v>82166</v>
      </c>
      <c r="E155">
        <v>64590</v>
      </c>
      <c r="G155" s="49">
        <v>0.79</v>
      </c>
      <c r="H155" t="s">
        <v>58</v>
      </c>
      <c r="I155" t="s">
        <v>58</v>
      </c>
      <c r="J155">
        <v>100</v>
      </c>
      <c r="L155" t="s">
        <v>84</v>
      </c>
    </row>
    <row r="156" spans="1:12" x14ac:dyDescent="0.3">
      <c r="A156" s="1">
        <v>46009</v>
      </c>
      <c r="B156" t="s">
        <v>53</v>
      </c>
      <c r="C156" s="19" t="s">
        <v>69</v>
      </c>
      <c r="D156" t="s">
        <v>69</v>
      </c>
      <c r="E156" t="s">
        <v>69</v>
      </c>
      <c r="G156" s="49" t="s">
        <v>69</v>
      </c>
      <c r="H156" s="19" t="s">
        <v>69</v>
      </c>
      <c r="I156" s="19" t="s">
        <v>69</v>
      </c>
    </row>
    <row r="157" spans="1:12" x14ac:dyDescent="0.3">
      <c r="A157" s="1">
        <v>46009</v>
      </c>
      <c r="B157" t="s">
        <v>54</v>
      </c>
      <c r="C157" s="19">
        <v>0.59</v>
      </c>
      <c r="D157">
        <v>10410</v>
      </c>
      <c r="E157">
        <v>7584</v>
      </c>
      <c r="G157" s="49">
        <v>0.73</v>
      </c>
      <c r="H157" t="s">
        <v>60</v>
      </c>
      <c r="I157" t="s">
        <v>58</v>
      </c>
    </row>
    <row r="158" spans="1:12" x14ac:dyDescent="0.3">
      <c r="A158" s="1">
        <v>46012</v>
      </c>
      <c r="B158" t="s">
        <v>48</v>
      </c>
      <c r="C158" s="19">
        <v>0.56000000000000005</v>
      </c>
      <c r="D158">
        <v>24037</v>
      </c>
      <c r="E158">
        <v>30005</v>
      </c>
      <c r="F158" s="19">
        <v>1.25</v>
      </c>
      <c r="G158" s="49">
        <v>1.25</v>
      </c>
    </row>
    <row r="159" spans="1:12" x14ac:dyDescent="0.3">
      <c r="A159" s="1">
        <v>46012</v>
      </c>
      <c r="B159" t="s">
        <v>50</v>
      </c>
      <c r="C159" s="19">
        <v>0.54</v>
      </c>
      <c r="D159">
        <v>13050</v>
      </c>
      <c r="E159">
        <v>16556</v>
      </c>
      <c r="F159" s="19">
        <v>1.27</v>
      </c>
      <c r="G159" s="49">
        <v>1.27</v>
      </c>
    </row>
    <row r="160" spans="1:12" x14ac:dyDescent="0.3">
      <c r="A160" s="1">
        <v>46012</v>
      </c>
      <c r="B160" t="s">
        <v>51</v>
      </c>
      <c r="C160" s="19">
        <v>0.39</v>
      </c>
      <c r="D160">
        <v>23100</v>
      </c>
      <c r="E160">
        <v>23279</v>
      </c>
      <c r="F160" s="19">
        <v>1.01</v>
      </c>
      <c r="G160" s="49">
        <v>1.01</v>
      </c>
    </row>
    <row r="161" spans="1:12" x14ac:dyDescent="0.3">
      <c r="A161" s="1">
        <v>46012</v>
      </c>
      <c r="B161" t="s">
        <v>52</v>
      </c>
      <c r="C161" s="19">
        <v>0.57999999999999996</v>
      </c>
      <c r="D161">
        <v>96977</v>
      </c>
      <c r="E161">
        <v>99148</v>
      </c>
      <c r="F161" s="19">
        <v>1.02</v>
      </c>
      <c r="G161" s="49">
        <v>1.02</v>
      </c>
    </row>
    <row r="162" spans="1:12" x14ac:dyDescent="0.3">
      <c r="A162" s="1">
        <v>46012</v>
      </c>
      <c r="B162" t="s">
        <v>53</v>
      </c>
      <c r="C162" s="19" t="s">
        <v>69</v>
      </c>
      <c r="D162" s="19" t="s">
        <v>69</v>
      </c>
      <c r="E162" s="19" t="s">
        <v>69</v>
      </c>
      <c r="G162" s="49" t="s">
        <v>69</v>
      </c>
    </row>
    <row r="163" spans="1:12" x14ac:dyDescent="0.3">
      <c r="A163" s="1">
        <v>46012</v>
      </c>
      <c r="B163" t="s">
        <v>54</v>
      </c>
      <c r="C163" s="19">
        <v>0.49</v>
      </c>
      <c r="D163">
        <v>15435</v>
      </c>
      <c r="E163">
        <v>15650</v>
      </c>
      <c r="F163" s="19">
        <v>1.01</v>
      </c>
      <c r="G163" s="49">
        <v>1.01</v>
      </c>
    </row>
    <row r="164" spans="1:12" x14ac:dyDescent="0.3">
      <c r="A164" s="1">
        <v>46019</v>
      </c>
      <c r="B164" t="s">
        <v>48</v>
      </c>
      <c r="D164">
        <v>19866</v>
      </c>
      <c r="E164">
        <v>19404</v>
      </c>
      <c r="F164" s="19">
        <v>0.98</v>
      </c>
      <c r="G164" s="49">
        <v>0.98</v>
      </c>
    </row>
    <row r="165" spans="1:12" x14ac:dyDescent="0.3">
      <c r="A165" s="1">
        <v>46019</v>
      </c>
      <c r="B165" t="s">
        <v>50</v>
      </c>
      <c r="C165" s="19">
        <v>0.63</v>
      </c>
      <c r="D165">
        <v>8190</v>
      </c>
      <c r="E165">
        <v>8141</v>
      </c>
      <c r="F165" s="19">
        <v>0.99</v>
      </c>
      <c r="G165" s="49">
        <v>0.99</v>
      </c>
      <c r="H165" t="s">
        <v>58</v>
      </c>
      <c r="I165" t="s">
        <v>58</v>
      </c>
    </row>
    <row r="166" spans="1:12" x14ac:dyDescent="0.3">
      <c r="A166" s="1">
        <v>46019</v>
      </c>
      <c r="B166" t="s">
        <v>51</v>
      </c>
      <c r="D166">
        <v>26250</v>
      </c>
      <c r="E166">
        <v>26271</v>
      </c>
      <c r="F166" s="19">
        <v>1</v>
      </c>
      <c r="G166" s="49">
        <v>1</v>
      </c>
      <c r="H166" t="s">
        <v>58</v>
      </c>
      <c r="I166" t="s">
        <v>58</v>
      </c>
      <c r="J166">
        <v>20</v>
      </c>
      <c r="K166" t="s">
        <v>85</v>
      </c>
    </row>
    <row r="167" spans="1:12" x14ac:dyDescent="0.3">
      <c r="A167" s="1">
        <v>46019</v>
      </c>
      <c r="B167" t="s">
        <v>52</v>
      </c>
      <c r="C167" s="19">
        <v>0.05</v>
      </c>
      <c r="D167">
        <v>107260</v>
      </c>
      <c r="E167">
        <v>80298</v>
      </c>
      <c r="F167" s="19">
        <v>0.75</v>
      </c>
      <c r="G167" s="49">
        <v>0.75</v>
      </c>
      <c r="H167" t="s">
        <v>58</v>
      </c>
      <c r="I167" t="s">
        <v>58</v>
      </c>
      <c r="J167">
        <v>90</v>
      </c>
      <c r="L167" t="s">
        <v>86</v>
      </c>
    </row>
    <row r="168" spans="1:12" x14ac:dyDescent="0.3">
      <c r="A168" s="1">
        <v>46019</v>
      </c>
      <c r="B168" t="s">
        <v>53</v>
      </c>
      <c r="C168" s="19" t="s">
        <v>69</v>
      </c>
      <c r="D168" s="19" t="s">
        <v>69</v>
      </c>
      <c r="E168" s="19" t="s">
        <v>69</v>
      </c>
      <c r="G168" s="49" t="s">
        <v>69</v>
      </c>
      <c r="H168" s="19" t="s">
        <v>69</v>
      </c>
      <c r="I168" s="19" t="s">
        <v>69</v>
      </c>
    </row>
    <row r="169" spans="1:12" x14ac:dyDescent="0.3">
      <c r="A169" s="1">
        <v>46019</v>
      </c>
      <c r="B169" t="s">
        <v>54</v>
      </c>
      <c r="D169">
        <v>26250</v>
      </c>
      <c r="E169">
        <v>26271</v>
      </c>
      <c r="F169" s="19">
        <v>1</v>
      </c>
      <c r="G169" s="49">
        <v>1</v>
      </c>
      <c r="H169" t="s">
        <v>58</v>
      </c>
      <c r="I169" t="s">
        <v>58</v>
      </c>
    </row>
    <row r="170" spans="1:12" x14ac:dyDescent="0.3">
      <c r="A170" s="1">
        <v>46020</v>
      </c>
      <c r="B170" t="s">
        <v>48</v>
      </c>
      <c r="C170" s="19">
        <v>0.51600000000000001</v>
      </c>
      <c r="D170">
        <v>22887</v>
      </c>
      <c r="E170">
        <v>23591</v>
      </c>
      <c r="G170" s="49">
        <f>E170/D170</f>
        <v>1.0307598199851444</v>
      </c>
      <c r="H170" t="s">
        <v>58</v>
      </c>
      <c r="I170" t="s">
        <v>58</v>
      </c>
    </row>
    <row r="171" spans="1:12" x14ac:dyDescent="0.3">
      <c r="A171" s="1">
        <v>46020</v>
      </c>
      <c r="B171" t="s">
        <v>50</v>
      </c>
      <c r="C171" s="19">
        <v>0.69</v>
      </c>
      <c r="D171">
        <v>14760</v>
      </c>
      <c r="E171">
        <v>15309</v>
      </c>
      <c r="G171" s="49">
        <f t="shared" ref="G171:G175" si="3">E171/D171</f>
        <v>1.0371951219512194</v>
      </c>
      <c r="H171" t="s">
        <v>58</v>
      </c>
      <c r="I171" t="s">
        <v>58</v>
      </c>
      <c r="J171">
        <v>20</v>
      </c>
      <c r="K171" t="s">
        <v>85</v>
      </c>
    </row>
    <row r="172" spans="1:12" x14ac:dyDescent="0.3">
      <c r="A172" s="1">
        <v>46020</v>
      </c>
      <c r="B172" t="s">
        <v>51</v>
      </c>
      <c r="C172" s="19">
        <v>0.27</v>
      </c>
      <c r="D172">
        <v>22995</v>
      </c>
      <c r="E172">
        <v>19971</v>
      </c>
      <c r="G172" s="49">
        <f t="shared" si="3"/>
        <v>0.86849315068493149</v>
      </c>
      <c r="H172" t="s">
        <v>58</v>
      </c>
      <c r="I172" t="s">
        <v>58</v>
      </c>
      <c r="J172">
        <v>90</v>
      </c>
      <c r="L172" t="s">
        <v>86</v>
      </c>
    </row>
    <row r="173" spans="1:12" x14ac:dyDescent="0.3">
      <c r="A173" s="1">
        <v>46020</v>
      </c>
      <c r="B173" t="s">
        <v>52</v>
      </c>
      <c r="C173" s="19">
        <v>0.52</v>
      </c>
      <c r="D173">
        <v>83346</v>
      </c>
      <c r="E173">
        <v>56804</v>
      </c>
      <c r="G173" s="49">
        <f t="shared" si="3"/>
        <v>0.68154440525040194</v>
      </c>
      <c r="H173" s="19" t="s">
        <v>69</v>
      </c>
      <c r="I173" s="19" t="s">
        <v>69</v>
      </c>
    </row>
    <row r="174" spans="1:12" x14ac:dyDescent="0.3">
      <c r="A174" s="1">
        <v>46020</v>
      </c>
      <c r="B174" t="s">
        <v>53</v>
      </c>
      <c r="C174" s="19" t="s">
        <v>69</v>
      </c>
      <c r="D174" t="s">
        <v>69</v>
      </c>
      <c r="E174" t="s">
        <v>69</v>
      </c>
      <c r="H174" t="s">
        <v>58</v>
      </c>
      <c r="I174" t="s">
        <v>58</v>
      </c>
    </row>
    <row r="175" spans="1:12" x14ac:dyDescent="0.3">
      <c r="A175" s="1">
        <v>46020</v>
      </c>
      <c r="B175" t="s">
        <v>54</v>
      </c>
      <c r="C175" s="19">
        <v>0.62</v>
      </c>
      <c r="D175">
        <v>10973</v>
      </c>
      <c r="E175">
        <v>10395</v>
      </c>
      <c r="G175" s="49">
        <f t="shared" si="3"/>
        <v>0.94732525289346581</v>
      </c>
    </row>
    <row r="176" spans="1:12" x14ac:dyDescent="0.3">
      <c r="A176" s="1">
        <v>46026</v>
      </c>
      <c r="B176" t="s">
        <v>48</v>
      </c>
      <c r="D176">
        <v>21017</v>
      </c>
      <c r="E176">
        <v>17882</v>
      </c>
      <c r="G176" s="49">
        <f>E176/D176</f>
        <v>0.85083503830232665</v>
      </c>
    </row>
    <row r="177" spans="1:12" x14ac:dyDescent="0.3">
      <c r="A177" s="1">
        <v>46026</v>
      </c>
      <c r="B177" t="s">
        <v>50</v>
      </c>
      <c r="C177" s="19">
        <v>0.78</v>
      </c>
      <c r="D177">
        <v>6233</v>
      </c>
      <c r="E177">
        <v>4509</v>
      </c>
      <c r="G177" s="49">
        <f>E177/D177</f>
        <v>0.7234076688592973</v>
      </c>
    </row>
    <row r="178" spans="1:12" x14ac:dyDescent="0.3">
      <c r="A178" s="1">
        <v>46026</v>
      </c>
      <c r="B178" t="s">
        <v>51</v>
      </c>
      <c r="C178" s="19">
        <v>0.3</v>
      </c>
      <c r="D178">
        <v>26250</v>
      </c>
      <c r="E178">
        <v>18176</v>
      </c>
      <c r="F178" s="19">
        <v>1</v>
      </c>
      <c r="G178" s="49">
        <f t="shared" ref="G178:G243" si="4">E178/D178</f>
        <v>0.6924190476190476</v>
      </c>
    </row>
    <row r="179" spans="1:12" x14ac:dyDescent="0.3">
      <c r="A179" s="1">
        <v>46026</v>
      </c>
      <c r="B179" t="s">
        <v>52</v>
      </c>
      <c r="C179" s="19">
        <v>0.4</v>
      </c>
      <c r="D179">
        <v>104104</v>
      </c>
      <c r="E179">
        <v>79698</v>
      </c>
      <c r="G179" s="49">
        <f t="shared" si="4"/>
        <v>0.76556136171520783</v>
      </c>
    </row>
    <row r="180" spans="1:12" x14ac:dyDescent="0.3">
      <c r="A180" s="1">
        <v>46026</v>
      </c>
      <c r="B180" t="s">
        <v>53</v>
      </c>
      <c r="C180" s="19">
        <v>0.31</v>
      </c>
      <c r="D180">
        <v>47196</v>
      </c>
      <c r="E180">
        <v>45786</v>
      </c>
      <c r="G180" s="49">
        <f t="shared" si="4"/>
        <v>0.97012458682939229</v>
      </c>
    </row>
    <row r="181" spans="1:12" x14ac:dyDescent="0.3">
      <c r="A181" s="1">
        <v>46026</v>
      </c>
      <c r="B181" t="s">
        <v>54</v>
      </c>
      <c r="C181" s="19" t="s">
        <v>69</v>
      </c>
    </row>
    <row r="182" spans="1:12" x14ac:dyDescent="0.3">
      <c r="A182" s="20">
        <v>46027</v>
      </c>
      <c r="B182" s="21" t="s">
        <v>48</v>
      </c>
      <c r="C182" s="23">
        <v>0.65</v>
      </c>
      <c r="D182" s="21">
        <v>30516</v>
      </c>
      <c r="E182" s="21">
        <v>30390</v>
      </c>
      <c r="G182" s="49">
        <f t="shared" si="4"/>
        <v>0.99587101848210779</v>
      </c>
      <c r="H182" s="21" t="s">
        <v>87</v>
      </c>
      <c r="I182" s="21" t="s">
        <v>87</v>
      </c>
      <c r="J182" s="21">
        <v>45</v>
      </c>
      <c r="K182" s="21" t="s">
        <v>88</v>
      </c>
      <c r="L182" s="21" t="s">
        <v>89</v>
      </c>
    </row>
    <row r="183" spans="1:12" x14ac:dyDescent="0.3">
      <c r="A183" s="20">
        <v>46027</v>
      </c>
      <c r="B183" s="21" t="s">
        <v>50</v>
      </c>
      <c r="C183" s="23">
        <v>0.65</v>
      </c>
      <c r="D183" s="21">
        <v>7135</v>
      </c>
      <c r="E183" s="21">
        <v>7844</v>
      </c>
      <c r="G183" s="49">
        <f t="shared" si="4"/>
        <v>1.0993693062368606</v>
      </c>
      <c r="H183" s="21" t="s">
        <v>90</v>
      </c>
      <c r="I183" s="21" t="s">
        <v>90</v>
      </c>
      <c r="J183" s="21">
        <v>120</v>
      </c>
      <c r="K183" s="21"/>
      <c r="L183" s="21" t="s">
        <v>91</v>
      </c>
    </row>
    <row r="184" spans="1:12" x14ac:dyDescent="0.3">
      <c r="A184" s="20">
        <v>46027</v>
      </c>
      <c r="B184" s="21" t="s">
        <v>51</v>
      </c>
      <c r="C184" s="23">
        <v>0.57999999999999996</v>
      </c>
      <c r="D184" s="21">
        <v>27300</v>
      </c>
      <c r="E184" s="21">
        <v>27279</v>
      </c>
      <c r="G184" s="49">
        <f t="shared" si="4"/>
        <v>0.99923076923076926</v>
      </c>
      <c r="H184" s="21" t="s">
        <v>87</v>
      </c>
      <c r="I184" s="21" t="s">
        <v>90</v>
      </c>
      <c r="J184" s="21">
        <v>100</v>
      </c>
      <c r="K184" s="21" t="s">
        <v>92</v>
      </c>
      <c r="L184" s="21" t="s">
        <v>93</v>
      </c>
    </row>
    <row r="185" spans="1:12" x14ac:dyDescent="0.3">
      <c r="A185" s="20">
        <v>46027</v>
      </c>
      <c r="B185" s="21" t="s">
        <v>52</v>
      </c>
      <c r="C185" s="23">
        <v>0.57999999999999996</v>
      </c>
      <c r="D185" s="21">
        <v>73350</v>
      </c>
      <c r="E185" s="21">
        <v>64618</v>
      </c>
      <c r="G185" s="49">
        <f t="shared" si="4"/>
        <v>0.88095432856169054</v>
      </c>
      <c r="H185" s="21" t="s">
        <v>90</v>
      </c>
      <c r="I185" s="21" t="s">
        <v>90</v>
      </c>
      <c r="J185" s="21">
        <v>140</v>
      </c>
      <c r="K185" s="21" t="s">
        <v>94</v>
      </c>
      <c r="L185" s="21" t="s">
        <v>95</v>
      </c>
    </row>
    <row r="186" spans="1:12" x14ac:dyDescent="0.3">
      <c r="A186" s="20">
        <v>46027</v>
      </c>
      <c r="B186" s="21" t="s">
        <v>53</v>
      </c>
      <c r="C186" s="23" t="s">
        <v>69</v>
      </c>
      <c r="D186" s="21"/>
      <c r="E186" s="21"/>
      <c r="H186" s="21"/>
      <c r="I186" s="21"/>
      <c r="J186" s="21"/>
      <c r="K186" s="21"/>
      <c r="L186" s="21"/>
    </row>
    <row r="187" spans="1:12" x14ac:dyDescent="0.3">
      <c r="A187" s="20">
        <v>46027</v>
      </c>
      <c r="B187" s="21" t="s">
        <v>54</v>
      </c>
      <c r="C187" s="23">
        <v>0.54</v>
      </c>
      <c r="D187" s="21">
        <v>22313</v>
      </c>
      <c r="E187" s="21">
        <v>20848</v>
      </c>
      <c r="G187" s="49">
        <f t="shared" si="4"/>
        <v>0.93434320799533899</v>
      </c>
      <c r="H187" s="21" t="s">
        <v>90</v>
      </c>
      <c r="I187" s="21" t="s">
        <v>90</v>
      </c>
      <c r="J187" s="21"/>
      <c r="K187" s="21"/>
      <c r="L187" s="21"/>
    </row>
    <row r="188" spans="1:12" x14ac:dyDescent="0.3">
      <c r="A188" s="1">
        <v>46028</v>
      </c>
      <c r="B188" s="21" t="s">
        <v>48</v>
      </c>
      <c r="C188" s="19">
        <v>0.25</v>
      </c>
      <c r="D188">
        <v>29330</v>
      </c>
      <c r="E188">
        <v>25863</v>
      </c>
      <c r="G188" s="49">
        <f t="shared" si="4"/>
        <v>0.88179338561200138</v>
      </c>
      <c r="H188" s="19" t="s">
        <v>87</v>
      </c>
      <c r="I188" t="s">
        <v>87</v>
      </c>
      <c r="J188">
        <v>360</v>
      </c>
      <c r="K188" t="s">
        <v>96</v>
      </c>
      <c r="L188" t="s">
        <v>97</v>
      </c>
    </row>
    <row r="189" spans="1:12" x14ac:dyDescent="0.3">
      <c r="A189" s="1">
        <v>46028</v>
      </c>
      <c r="B189" s="21" t="s">
        <v>50</v>
      </c>
      <c r="C189" s="19">
        <v>0.56000000000000005</v>
      </c>
      <c r="D189">
        <v>14850</v>
      </c>
      <c r="E189">
        <v>15552</v>
      </c>
      <c r="G189" s="49">
        <f t="shared" si="4"/>
        <v>1.0472727272727274</v>
      </c>
      <c r="H189" s="19" t="s">
        <v>90</v>
      </c>
      <c r="I189" t="s">
        <v>90</v>
      </c>
      <c r="J189">
        <v>0</v>
      </c>
    </row>
    <row r="190" spans="1:12" x14ac:dyDescent="0.3">
      <c r="A190" s="1">
        <v>46028</v>
      </c>
      <c r="B190" s="21" t="s">
        <v>51</v>
      </c>
      <c r="C190" s="19">
        <v>0.68</v>
      </c>
      <c r="D190">
        <v>25830</v>
      </c>
      <c r="E190">
        <v>25935</v>
      </c>
      <c r="G190" s="49">
        <f t="shared" si="4"/>
        <v>1.0040650406504066</v>
      </c>
      <c r="H190" s="19" t="s">
        <v>90</v>
      </c>
      <c r="I190" t="s">
        <v>90</v>
      </c>
      <c r="J190">
        <v>45</v>
      </c>
    </row>
    <row r="191" spans="1:12" x14ac:dyDescent="0.3">
      <c r="A191" s="1">
        <v>46028</v>
      </c>
      <c r="B191" s="21" t="s">
        <v>52</v>
      </c>
      <c r="C191" s="19">
        <v>0.6</v>
      </c>
      <c r="D191">
        <v>116941</v>
      </c>
      <c r="E191">
        <v>79625.3</v>
      </c>
      <c r="G191" s="49">
        <f t="shared" si="4"/>
        <v>0.68090148023362207</v>
      </c>
      <c r="H191" s="19" t="s">
        <v>90</v>
      </c>
      <c r="I191" t="s">
        <v>90</v>
      </c>
      <c r="J191">
        <v>120</v>
      </c>
    </row>
    <row r="192" spans="1:12" x14ac:dyDescent="0.3">
      <c r="A192" s="1">
        <v>46028</v>
      </c>
      <c r="B192" s="21" t="s">
        <v>53</v>
      </c>
      <c r="C192" s="19" t="s">
        <v>69</v>
      </c>
      <c r="H192" s="19" t="s">
        <v>69</v>
      </c>
      <c r="I192" t="s">
        <v>69</v>
      </c>
      <c r="J192" t="s">
        <v>69</v>
      </c>
    </row>
    <row r="193" spans="1:11" x14ac:dyDescent="0.3">
      <c r="A193" s="1">
        <v>46028</v>
      </c>
      <c r="B193" s="21" t="s">
        <v>54</v>
      </c>
      <c r="C193" s="19">
        <v>0.66</v>
      </c>
      <c r="D193">
        <v>17100</v>
      </c>
      <c r="E193">
        <v>17289</v>
      </c>
      <c r="G193" s="49">
        <f t="shared" si="4"/>
        <v>1.0110526315789474</v>
      </c>
      <c r="H193" s="19" t="s">
        <v>90</v>
      </c>
      <c r="I193" t="s">
        <v>90</v>
      </c>
      <c r="J193">
        <v>0</v>
      </c>
    </row>
    <row r="194" spans="1:11" x14ac:dyDescent="0.3">
      <c r="A194" s="1">
        <v>46029</v>
      </c>
      <c r="B194" s="21" t="s">
        <v>48</v>
      </c>
      <c r="C194" s="19">
        <v>0.57999999999999996</v>
      </c>
      <c r="D194">
        <v>25987</v>
      </c>
      <c r="E194">
        <v>26408</v>
      </c>
      <c r="G194" s="49">
        <f t="shared" si="4"/>
        <v>1.0162004078962559</v>
      </c>
      <c r="H194" t="s">
        <v>90</v>
      </c>
      <c r="I194" t="s">
        <v>87</v>
      </c>
      <c r="J194">
        <v>80</v>
      </c>
      <c r="K194" t="s">
        <v>98</v>
      </c>
    </row>
    <row r="195" spans="1:11" x14ac:dyDescent="0.3">
      <c r="A195" s="1">
        <v>46029</v>
      </c>
      <c r="B195" s="21" t="s">
        <v>50</v>
      </c>
      <c r="C195" s="19">
        <v>0.97</v>
      </c>
      <c r="D195">
        <v>10240</v>
      </c>
      <c r="E195">
        <v>10513</v>
      </c>
      <c r="G195" s="49">
        <f t="shared" si="4"/>
        <v>1.02666015625</v>
      </c>
      <c r="H195" t="s">
        <v>90</v>
      </c>
      <c r="I195" t="s">
        <v>90</v>
      </c>
      <c r="J195">
        <v>0</v>
      </c>
    </row>
    <row r="196" spans="1:11" x14ac:dyDescent="0.3">
      <c r="A196" s="1">
        <v>46029</v>
      </c>
      <c r="B196" s="21" t="s">
        <v>51</v>
      </c>
      <c r="C196" s="19">
        <v>0.76</v>
      </c>
      <c r="D196">
        <v>26250</v>
      </c>
      <c r="E196">
        <v>26634</v>
      </c>
      <c r="G196" s="49">
        <f t="shared" si="4"/>
        <v>1.0146285714285714</v>
      </c>
      <c r="H196" t="s">
        <v>90</v>
      </c>
      <c r="I196" t="s">
        <v>90</v>
      </c>
      <c r="J196">
        <v>0</v>
      </c>
      <c r="K196" t="s">
        <v>99</v>
      </c>
    </row>
    <row r="197" spans="1:11" x14ac:dyDescent="0.3">
      <c r="A197" s="1">
        <v>46029</v>
      </c>
      <c r="B197" s="21" t="s">
        <v>52</v>
      </c>
      <c r="C197" s="19">
        <v>0.57999999999999996</v>
      </c>
      <c r="D197">
        <v>82690</v>
      </c>
      <c r="E197">
        <v>58878</v>
      </c>
      <c r="G197" s="49">
        <f t="shared" si="4"/>
        <v>0.71203289394122626</v>
      </c>
      <c r="H197" t="s">
        <v>90</v>
      </c>
      <c r="I197" t="s">
        <v>90</v>
      </c>
      <c r="J197">
        <v>60</v>
      </c>
      <c r="K197" t="s">
        <v>100</v>
      </c>
    </row>
    <row r="198" spans="1:11" x14ac:dyDescent="0.3">
      <c r="A198" s="1">
        <v>46029</v>
      </c>
      <c r="B198" s="21" t="s">
        <v>53</v>
      </c>
      <c r="C198" s="19" t="s">
        <v>69</v>
      </c>
      <c r="H198" t="s">
        <v>87</v>
      </c>
      <c r="I198" t="s">
        <v>69</v>
      </c>
      <c r="J198">
        <v>0</v>
      </c>
    </row>
    <row r="199" spans="1:11" x14ac:dyDescent="0.3">
      <c r="A199" s="1">
        <v>46029</v>
      </c>
      <c r="B199" s="21" t="s">
        <v>54</v>
      </c>
      <c r="C199" s="19">
        <v>0.59</v>
      </c>
      <c r="D199">
        <v>22050</v>
      </c>
      <c r="E199">
        <v>17892</v>
      </c>
      <c r="G199" s="49">
        <f t="shared" si="4"/>
        <v>0.81142857142857139</v>
      </c>
      <c r="H199" t="s">
        <v>90</v>
      </c>
      <c r="I199" t="s">
        <v>90</v>
      </c>
      <c r="J199">
        <v>0</v>
      </c>
    </row>
    <row r="200" spans="1:11" x14ac:dyDescent="0.3">
      <c r="A200" s="1">
        <v>46030</v>
      </c>
      <c r="B200" s="21" t="s">
        <v>48</v>
      </c>
      <c r="C200" s="19">
        <v>0.56999999999999995</v>
      </c>
      <c r="D200">
        <v>32664</v>
      </c>
      <c r="E200">
        <v>31974</v>
      </c>
      <c r="G200" s="49">
        <f t="shared" si="4"/>
        <v>0.97887582659808969</v>
      </c>
      <c r="H200" t="s">
        <v>87</v>
      </c>
      <c r="I200" t="s">
        <v>87</v>
      </c>
      <c r="J200">
        <v>0</v>
      </c>
    </row>
    <row r="201" spans="1:11" x14ac:dyDescent="0.3">
      <c r="A201" s="1">
        <v>46030</v>
      </c>
      <c r="B201" s="21" t="s">
        <v>50</v>
      </c>
      <c r="C201" s="19">
        <v>0.62</v>
      </c>
      <c r="D201">
        <v>9900</v>
      </c>
      <c r="E201">
        <v>8982</v>
      </c>
      <c r="G201" s="49">
        <f t="shared" si="4"/>
        <v>0.90727272727272723</v>
      </c>
      <c r="H201" t="s">
        <v>90</v>
      </c>
      <c r="I201" t="s">
        <v>90</v>
      </c>
      <c r="J201">
        <v>0</v>
      </c>
    </row>
    <row r="202" spans="1:11" x14ac:dyDescent="0.3">
      <c r="A202" s="1">
        <v>46030</v>
      </c>
      <c r="B202" s="21" t="s">
        <v>51</v>
      </c>
      <c r="C202" s="19" t="s">
        <v>69</v>
      </c>
      <c r="H202" t="s">
        <v>69</v>
      </c>
      <c r="I202" t="s">
        <v>87</v>
      </c>
      <c r="J202">
        <v>0</v>
      </c>
    </row>
    <row r="203" spans="1:11" x14ac:dyDescent="0.3">
      <c r="A203" s="1">
        <v>46030</v>
      </c>
      <c r="B203" s="21" t="s">
        <v>52</v>
      </c>
      <c r="C203" s="19">
        <v>0.67</v>
      </c>
      <c r="D203">
        <v>71499</v>
      </c>
      <c r="E203">
        <v>75695</v>
      </c>
      <c r="G203" s="49">
        <f t="shared" si="4"/>
        <v>1.0586861354704262</v>
      </c>
      <c r="H203" t="s">
        <v>90</v>
      </c>
      <c r="I203" t="s">
        <v>90</v>
      </c>
      <c r="J203">
        <v>0</v>
      </c>
      <c r="K203" t="s">
        <v>101</v>
      </c>
    </row>
    <row r="204" spans="1:11" x14ac:dyDescent="0.3">
      <c r="A204" s="1">
        <v>46030</v>
      </c>
      <c r="B204" s="21" t="s">
        <v>53</v>
      </c>
      <c r="C204" s="19">
        <v>0.35</v>
      </c>
      <c r="D204">
        <v>44655</v>
      </c>
      <c r="E204">
        <v>35504</v>
      </c>
      <c r="G204" s="49">
        <f t="shared" si="4"/>
        <v>0.79507334005150598</v>
      </c>
      <c r="H204" t="s">
        <v>87</v>
      </c>
      <c r="I204" t="s">
        <v>87</v>
      </c>
      <c r="J204">
        <v>0</v>
      </c>
      <c r="K204" t="s">
        <v>102</v>
      </c>
    </row>
    <row r="205" spans="1:11" x14ac:dyDescent="0.3">
      <c r="A205" s="1">
        <v>46030</v>
      </c>
      <c r="B205" s="21" t="s">
        <v>54</v>
      </c>
      <c r="C205" s="19">
        <v>0.54</v>
      </c>
      <c r="D205">
        <v>11469</v>
      </c>
      <c r="E205">
        <v>10789</v>
      </c>
      <c r="G205" s="49">
        <f t="shared" si="4"/>
        <v>0.940709739297236</v>
      </c>
      <c r="H205" t="s">
        <v>90</v>
      </c>
      <c r="J205">
        <v>0</v>
      </c>
    </row>
    <row r="206" spans="1:11" x14ac:dyDescent="0.3">
      <c r="A206" s="1">
        <v>46031</v>
      </c>
      <c r="B206" s="21" t="s">
        <v>48</v>
      </c>
      <c r="C206" s="19">
        <v>0.55000000000000004</v>
      </c>
      <c r="D206">
        <v>21652.5</v>
      </c>
      <c r="E206">
        <v>21696</v>
      </c>
      <c r="G206" s="49">
        <f t="shared" si="4"/>
        <v>1.0020090058884656</v>
      </c>
      <c r="I206" t="s">
        <v>90</v>
      </c>
      <c r="J206">
        <v>0</v>
      </c>
    </row>
    <row r="207" spans="1:11" x14ac:dyDescent="0.3">
      <c r="A207" s="1">
        <v>46031</v>
      </c>
      <c r="B207" s="21" t="s">
        <v>50</v>
      </c>
      <c r="C207" s="19">
        <v>0.65</v>
      </c>
      <c r="D207">
        <v>6907.5</v>
      </c>
      <c r="E207">
        <v>7326</v>
      </c>
      <c r="G207" s="49">
        <f t="shared" si="4"/>
        <v>1.060586319218241</v>
      </c>
      <c r="I207" t="s">
        <v>87</v>
      </c>
      <c r="J207">
        <v>0</v>
      </c>
    </row>
    <row r="208" spans="1:11" x14ac:dyDescent="0.3">
      <c r="A208" s="1">
        <v>46031</v>
      </c>
      <c r="B208" s="21" t="s">
        <v>51</v>
      </c>
      <c r="C208" s="19" t="s">
        <v>69</v>
      </c>
      <c r="I208" t="s">
        <v>90</v>
      </c>
      <c r="J208">
        <v>0</v>
      </c>
    </row>
    <row r="209" spans="1:12" x14ac:dyDescent="0.3">
      <c r="A209" s="1">
        <v>46031</v>
      </c>
      <c r="B209" s="21" t="s">
        <v>52</v>
      </c>
      <c r="C209" s="19">
        <v>0.39</v>
      </c>
      <c r="D209">
        <v>33000</v>
      </c>
      <c r="E209">
        <v>25360</v>
      </c>
      <c r="G209" s="49">
        <f t="shared" si="4"/>
        <v>0.76848484848484844</v>
      </c>
      <c r="I209" t="s">
        <v>87</v>
      </c>
      <c r="J209">
        <v>0</v>
      </c>
      <c r="K209" t="s">
        <v>103</v>
      </c>
    </row>
    <row r="210" spans="1:12" x14ac:dyDescent="0.3">
      <c r="A210" s="1">
        <v>46031</v>
      </c>
      <c r="B210" s="21" t="s">
        <v>53</v>
      </c>
      <c r="C210" s="19">
        <v>0.26</v>
      </c>
      <c r="D210">
        <v>36540</v>
      </c>
      <c r="E210">
        <v>36774</v>
      </c>
      <c r="G210" s="49">
        <f t="shared" si="4"/>
        <v>1.0064039408866996</v>
      </c>
      <c r="I210" t="s">
        <v>90</v>
      </c>
      <c r="J210">
        <v>0</v>
      </c>
      <c r="K210" t="s">
        <v>104</v>
      </c>
    </row>
    <row r="211" spans="1:12" x14ac:dyDescent="0.3">
      <c r="A211" s="1">
        <v>46031</v>
      </c>
      <c r="B211" s="21" t="s">
        <v>54</v>
      </c>
      <c r="C211" s="19">
        <v>0.44</v>
      </c>
      <c r="D211">
        <v>15330</v>
      </c>
      <c r="E211">
        <v>11771</v>
      </c>
      <c r="G211" s="49">
        <f t="shared" si="4"/>
        <v>0.76784083496412259</v>
      </c>
      <c r="I211" t="s">
        <v>87</v>
      </c>
      <c r="J211">
        <v>0</v>
      </c>
      <c r="K211" t="s">
        <v>105</v>
      </c>
    </row>
    <row r="212" spans="1:12" x14ac:dyDescent="0.3">
      <c r="A212" s="1">
        <v>46034</v>
      </c>
      <c r="B212" s="21" t="s">
        <v>48</v>
      </c>
      <c r="C212" s="19">
        <v>7.0000000000000007E-2</v>
      </c>
      <c r="D212">
        <v>30240</v>
      </c>
      <c r="E212">
        <v>22988</v>
      </c>
      <c r="G212" s="49">
        <f t="shared" si="4"/>
        <v>0.76018518518518519</v>
      </c>
      <c r="I212" t="s">
        <v>87</v>
      </c>
      <c r="J212">
        <v>240</v>
      </c>
      <c r="L212" t="s">
        <v>106</v>
      </c>
    </row>
    <row r="213" spans="1:12" x14ac:dyDescent="0.3">
      <c r="A213" s="1">
        <v>46034</v>
      </c>
      <c r="B213" s="21" t="s">
        <v>50</v>
      </c>
      <c r="D213">
        <v>6460</v>
      </c>
      <c r="E213">
        <v>7086</v>
      </c>
      <c r="G213" s="49">
        <f t="shared" si="4"/>
        <v>1.0969040247678019</v>
      </c>
      <c r="I213" t="s">
        <v>90</v>
      </c>
      <c r="J213">
        <v>0</v>
      </c>
    </row>
    <row r="214" spans="1:12" x14ac:dyDescent="0.3">
      <c r="A214" s="1">
        <v>46034</v>
      </c>
      <c r="B214" s="21" t="s">
        <v>51</v>
      </c>
      <c r="C214" s="19">
        <v>0.2</v>
      </c>
      <c r="D214">
        <v>26250</v>
      </c>
      <c r="E214">
        <v>24150</v>
      </c>
      <c r="G214" s="49">
        <f t="shared" si="4"/>
        <v>0.92</v>
      </c>
      <c r="I214" t="s">
        <v>90</v>
      </c>
      <c r="J214">
        <v>0</v>
      </c>
    </row>
    <row r="215" spans="1:12" x14ac:dyDescent="0.3">
      <c r="A215" s="1">
        <v>46034</v>
      </c>
      <c r="B215" s="21" t="s">
        <v>52</v>
      </c>
      <c r="C215" s="19">
        <v>0.49</v>
      </c>
      <c r="D215">
        <v>65850</v>
      </c>
      <c r="E215">
        <v>43581</v>
      </c>
      <c r="G215" s="49">
        <f t="shared" si="4"/>
        <v>0.66182232346241454</v>
      </c>
      <c r="I215" t="s">
        <v>87</v>
      </c>
      <c r="J215">
        <v>150</v>
      </c>
      <c r="L215" t="s">
        <v>106</v>
      </c>
    </row>
    <row r="216" spans="1:12" x14ac:dyDescent="0.3">
      <c r="A216" s="1">
        <v>46034</v>
      </c>
      <c r="B216" s="21" t="s">
        <v>53</v>
      </c>
      <c r="C216" s="19">
        <v>0.2</v>
      </c>
      <c r="D216">
        <v>40218</v>
      </c>
      <c r="E216">
        <v>36814</v>
      </c>
      <c r="G216" s="49">
        <f t="shared" si="4"/>
        <v>0.91536128101844949</v>
      </c>
      <c r="I216" t="s">
        <v>87</v>
      </c>
      <c r="J216">
        <v>150</v>
      </c>
      <c r="L216" t="s">
        <v>107</v>
      </c>
    </row>
    <row r="217" spans="1:12" x14ac:dyDescent="0.3">
      <c r="A217" s="1">
        <v>46034</v>
      </c>
      <c r="B217" s="21" t="s">
        <v>54</v>
      </c>
      <c r="D217">
        <v>14543</v>
      </c>
      <c r="E217">
        <v>14838</v>
      </c>
      <c r="G217" s="49">
        <f t="shared" si="4"/>
        <v>1.0202846730385753</v>
      </c>
      <c r="I217" t="s">
        <v>90</v>
      </c>
      <c r="J217">
        <v>0</v>
      </c>
    </row>
    <row r="218" spans="1:12" x14ac:dyDescent="0.3">
      <c r="A218" s="1">
        <v>46035</v>
      </c>
      <c r="B218" s="21" t="s">
        <v>48</v>
      </c>
      <c r="C218" s="19">
        <v>0.14000000000000001</v>
      </c>
      <c r="D218">
        <v>37492</v>
      </c>
      <c r="E218">
        <v>38836</v>
      </c>
      <c r="G218" s="49">
        <f t="shared" si="4"/>
        <v>1.0358476474981329</v>
      </c>
      <c r="I218" t="s">
        <v>87</v>
      </c>
      <c r="J218">
        <v>0</v>
      </c>
    </row>
    <row r="219" spans="1:12" x14ac:dyDescent="0.3">
      <c r="A219" s="1">
        <v>46035</v>
      </c>
      <c r="B219" s="21" t="s">
        <v>50</v>
      </c>
      <c r="C219" s="19">
        <v>0.37</v>
      </c>
      <c r="D219">
        <v>13365</v>
      </c>
      <c r="E219">
        <v>14063</v>
      </c>
      <c r="G219" s="49">
        <f t="shared" si="4"/>
        <v>1.0522259633370745</v>
      </c>
      <c r="I219" t="s">
        <v>90</v>
      </c>
      <c r="J219">
        <v>0</v>
      </c>
    </row>
    <row r="220" spans="1:12" x14ac:dyDescent="0.3">
      <c r="A220" s="1">
        <v>46035</v>
      </c>
      <c r="B220" s="21" t="s">
        <v>51</v>
      </c>
      <c r="C220" s="19" t="s">
        <v>69</v>
      </c>
    </row>
    <row r="221" spans="1:12" x14ac:dyDescent="0.3">
      <c r="A221" s="1">
        <v>46035</v>
      </c>
      <c r="B221" s="21" t="s">
        <v>52</v>
      </c>
      <c r="C221" s="19">
        <v>0.41</v>
      </c>
      <c r="D221">
        <v>51750</v>
      </c>
      <c r="E221">
        <v>49095</v>
      </c>
      <c r="G221" s="49">
        <f t="shared" si="4"/>
        <v>0.94869565217391305</v>
      </c>
      <c r="I221" t="s">
        <v>90</v>
      </c>
      <c r="J221">
        <v>50</v>
      </c>
      <c r="L221" t="s">
        <v>108</v>
      </c>
    </row>
    <row r="222" spans="1:12" x14ac:dyDescent="0.3">
      <c r="A222" s="1">
        <v>46035</v>
      </c>
      <c r="B222" s="21" t="s">
        <v>53</v>
      </c>
      <c r="C222" s="19">
        <v>0.104</v>
      </c>
      <c r="D222">
        <v>54708</v>
      </c>
      <c r="E222">
        <v>47010</v>
      </c>
      <c r="G222" s="49">
        <f t="shared" si="4"/>
        <v>0.85928931783285811</v>
      </c>
      <c r="I222" t="s">
        <v>90</v>
      </c>
      <c r="J222">
        <v>90</v>
      </c>
      <c r="L222" t="s">
        <v>108</v>
      </c>
    </row>
    <row r="223" spans="1:12" x14ac:dyDescent="0.3">
      <c r="A223" s="1">
        <v>46035</v>
      </c>
      <c r="B223" s="21" t="s">
        <v>54</v>
      </c>
      <c r="C223" s="19">
        <v>0.16</v>
      </c>
      <c r="D223">
        <v>16463</v>
      </c>
      <c r="E223">
        <v>2913</v>
      </c>
      <c r="G223" s="49">
        <f t="shared" si="4"/>
        <v>0.17694223410071069</v>
      </c>
      <c r="J223">
        <v>240</v>
      </c>
      <c r="L223" t="s">
        <v>109</v>
      </c>
    </row>
    <row r="224" spans="1:12" x14ac:dyDescent="0.3">
      <c r="A224" s="1">
        <v>46036</v>
      </c>
      <c r="B224" s="21" t="s">
        <v>48</v>
      </c>
      <c r="C224" s="19">
        <v>0.63</v>
      </c>
      <c r="D224">
        <v>21998</v>
      </c>
      <c r="E224">
        <v>22590.75</v>
      </c>
      <c r="G224" s="49">
        <f t="shared" si="4"/>
        <v>1.0269456314210383</v>
      </c>
    </row>
    <row r="225" spans="1:12" x14ac:dyDescent="0.3">
      <c r="A225" s="1">
        <v>46036</v>
      </c>
      <c r="B225" s="21" t="s">
        <v>50</v>
      </c>
      <c r="C225" s="19">
        <v>0.3</v>
      </c>
      <c r="D225">
        <v>10480</v>
      </c>
      <c r="E225">
        <v>10825</v>
      </c>
      <c r="G225" s="49">
        <f t="shared" si="4"/>
        <v>1.0329198473282444</v>
      </c>
    </row>
    <row r="226" spans="1:12" x14ac:dyDescent="0.3">
      <c r="A226" s="1">
        <v>46036</v>
      </c>
      <c r="B226" s="21" t="s">
        <v>51</v>
      </c>
      <c r="C226" s="19">
        <v>0.14000000000000001</v>
      </c>
      <c r="D226">
        <v>26250</v>
      </c>
      <c r="E226">
        <v>7770</v>
      </c>
      <c r="G226" s="49">
        <f t="shared" si="4"/>
        <v>0.29599999999999999</v>
      </c>
    </row>
    <row r="227" spans="1:12" x14ac:dyDescent="0.3">
      <c r="A227" s="1">
        <v>46036</v>
      </c>
      <c r="B227" s="21" t="s">
        <v>52</v>
      </c>
      <c r="C227" s="19">
        <v>0.34</v>
      </c>
      <c r="D227">
        <v>65306</v>
      </c>
      <c r="E227">
        <v>20334</v>
      </c>
      <c r="G227" s="49">
        <f t="shared" si="4"/>
        <v>0.31136495880929776</v>
      </c>
    </row>
    <row r="228" spans="1:12" x14ac:dyDescent="0.3">
      <c r="A228" s="1">
        <v>46036</v>
      </c>
      <c r="B228" s="21" t="s">
        <v>53</v>
      </c>
      <c r="C228" s="19">
        <v>0.21</v>
      </c>
      <c r="D228">
        <v>58875</v>
      </c>
      <c r="E228">
        <v>62705.25</v>
      </c>
      <c r="G228" s="49">
        <f t="shared" si="4"/>
        <v>1.0650573248407644</v>
      </c>
    </row>
    <row r="229" spans="1:12" x14ac:dyDescent="0.3">
      <c r="A229" s="1">
        <v>46036</v>
      </c>
      <c r="B229" s="21" t="s">
        <v>54</v>
      </c>
      <c r="C229" s="19">
        <v>0.23</v>
      </c>
      <c r="D229">
        <v>16800</v>
      </c>
      <c r="E229">
        <v>8760</v>
      </c>
      <c r="G229" s="49">
        <f t="shared" si="4"/>
        <v>0.52142857142857146</v>
      </c>
    </row>
    <row r="230" spans="1:12" x14ac:dyDescent="0.3">
      <c r="A230" s="1">
        <v>46037</v>
      </c>
      <c r="B230" s="21" t="s">
        <v>48</v>
      </c>
      <c r="C230" s="19">
        <v>0.27400000000000002</v>
      </c>
      <c r="D230">
        <v>66304</v>
      </c>
      <c r="E230">
        <v>31493</v>
      </c>
      <c r="G230" s="49">
        <f t="shared" si="4"/>
        <v>0.47497888513513514</v>
      </c>
      <c r="H230" t="s">
        <v>87</v>
      </c>
      <c r="I230" t="s">
        <v>87</v>
      </c>
      <c r="J230">
        <v>0</v>
      </c>
    </row>
    <row r="231" spans="1:12" x14ac:dyDescent="0.3">
      <c r="A231" s="1">
        <v>46037</v>
      </c>
      <c r="B231" s="21" t="s">
        <v>50</v>
      </c>
      <c r="C231" s="19">
        <v>0.38200000000000001</v>
      </c>
      <c r="D231">
        <v>10665</v>
      </c>
      <c r="E231">
        <v>8811</v>
      </c>
      <c r="G231" s="49">
        <f t="shared" si="4"/>
        <v>0.82616033755274265</v>
      </c>
      <c r="H231" t="s">
        <v>90</v>
      </c>
      <c r="I231" t="s">
        <v>90</v>
      </c>
      <c r="J231">
        <v>0</v>
      </c>
    </row>
    <row r="232" spans="1:12" x14ac:dyDescent="0.3">
      <c r="A232" s="1">
        <v>46037</v>
      </c>
      <c r="B232" s="21" t="s">
        <v>51</v>
      </c>
      <c r="C232" s="19">
        <v>0.72</v>
      </c>
      <c r="D232">
        <v>26250</v>
      </c>
      <c r="E232">
        <v>24979.5</v>
      </c>
      <c r="G232" s="49">
        <f t="shared" si="4"/>
        <v>0.9516</v>
      </c>
      <c r="H232" t="s">
        <v>90</v>
      </c>
      <c r="J232">
        <v>60</v>
      </c>
      <c r="L232" t="s">
        <v>110</v>
      </c>
    </row>
    <row r="233" spans="1:12" x14ac:dyDescent="0.3">
      <c r="A233" s="1">
        <v>46037</v>
      </c>
      <c r="B233" s="21" t="s">
        <v>52</v>
      </c>
      <c r="C233" s="19">
        <v>0.25700000000000001</v>
      </c>
      <c r="D233">
        <v>64106</v>
      </c>
      <c r="E233">
        <v>48583.875</v>
      </c>
      <c r="G233" s="49">
        <f t="shared" si="4"/>
        <v>0.75786782828440391</v>
      </c>
      <c r="H233" t="s">
        <v>90</v>
      </c>
      <c r="I233" t="s">
        <v>87</v>
      </c>
      <c r="J233">
        <v>180</v>
      </c>
      <c r="K233" t="s">
        <v>111</v>
      </c>
      <c r="L233" t="s">
        <v>112</v>
      </c>
    </row>
    <row r="234" spans="1:12" x14ac:dyDescent="0.3">
      <c r="A234" s="1">
        <v>46037</v>
      </c>
      <c r="B234" s="21" t="s">
        <v>53</v>
      </c>
      <c r="C234" s="19">
        <v>0.309</v>
      </c>
      <c r="D234">
        <v>51675</v>
      </c>
      <c r="E234">
        <v>39618</v>
      </c>
      <c r="G234" s="49">
        <f t="shared" si="4"/>
        <v>0.76667634252539918</v>
      </c>
      <c r="H234" t="s">
        <v>69</v>
      </c>
      <c r="I234" t="s">
        <v>87</v>
      </c>
      <c r="J234">
        <v>180</v>
      </c>
      <c r="K234" t="s">
        <v>113</v>
      </c>
    </row>
    <row r="235" spans="1:12" x14ac:dyDescent="0.3">
      <c r="A235" s="1">
        <v>46037</v>
      </c>
      <c r="B235" s="21" t="s">
        <v>54</v>
      </c>
      <c r="C235" s="19">
        <v>0.308</v>
      </c>
      <c r="D235">
        <v>16887</v>
      </c>
      <c r="E235">
        <v>13023.375</v>
      </c>
      <c r="G235" s="49">
        <f t="shared" si="4"/>
        <v>0.77120714158820391</v>
      </c>
      <c r="H235" t="s">
        <v>87</v>
      </c>
      <c r="J235">
        <v>100</v>
      </c>
      <c r="L235" t="s">
        <v>114</v>
      </c>
    </row>
    <row r="236" spans="1:12" x14ac:dyDescent="0.3">
      <c r="A236" s="1">
        <v>46038</v>
      </c>
      <c r="B236" s="21" t="s">
        <v>48</v>
      </c>
      <c r="C236" s="19">
        <v>0.41399999999999998</v>
      </c>
      <c r="D236">
        <v>23310</v>
      </c>
      <c r="E236">
        <v>24643.5</v>
      </c>
      <c r="G236" s="49">
        <f t="shared" si="4"/>
        <v>1.0572072072072072</v>
      </c>
    </row>
    <row r="237" spans="1:12" x14ac:dyDescent="0.3">
      <c r="A237" s="1">
        <v>46038</v>
      </c>
      <c r="B237" s="21" t="s">
        <v>50</v>
      </c>
      <c r="C237" s="19">
        <v>0.46700000000000003</v>
      </c>
      <c r="D237">
        <v>9990</v>
      </c>
      <c r="E237">
        <v>10125</v>
      </c>
      <c r="G237" s="49">
        <f t="shared" si="4"/>
        <v>1.0135135135135136</v>
      </c>
    </row>
    <row r="238" spans="1:12" x14ac:dyDescent="0.3">
      <c r="A238" s="1">
        <v>46038</v>
      </c>
      <c r="B238" s="21" t="s">
        <v>51</v>
      </c>
      <c r="C238" s="19">
        <v>0.56999999999999995</v>
      </c>
      <c r="D238">
        <v>31500</v>
      </c>
      <c r="E238">
        <v>31500</v>
      </c>
      <c r="G238" s="49">
        <f t="shared" si="4"/>
        <v>1</v>
      </c>
    </row>
    <row r="239" spans="1:12" x14ac:dyDescent="0.3">
      <c r="A239" s="1">
        <v>46038</v>
      </c>
      <c r="B239" s="21" t="s">
        <v>52</v>
      </c>
      <c r="C239" s="19">
        <v>0.215</v>
      </c>
      <c r="D239">
        <v>91571</v>
      </c>
      <c r="E239">
        <v>96030.75</v>
      </c>
      <c r="G239" s="49">
        <f t="shared" si="4"/>
        <v>1.0487026460342248</v>
      </c>
    </row>
    <row r="240" spans="1:12" x14ac:dyDescent="0.3">
      <c r="A240" s="1">
        <v>46038</v>
      </c>
      <c r="B240" s="21" t="s">
        <v>53</v>
      </c>
      <c r="C240" s="19" t="s">
        <v>69</v>
      </c>
    </row>
    <row r="241" spans="1:13" x14ac:dyDescent="0.3">
      <c r="A241" s="1">
        <v>46038</v>
      </c>
      <c r="B241" s="21" t="s">
        <v>54</v>
      </c>
      <c r="C241" s="19">
        <v>0.32</v>
      </c>
      <c r="D241">
        <v>18803</v>
      </c>
      <c r="E241">
        <v>14075.25</v>
      </c>
      <c r="G241" s="49">
        <f t="shared" si="4"/>
        <v>0.74856405892676703</v>
      </c>
    </row>
    <row r="242" spans="1:13" x14ac:dyDescent="0.3">
      <c r="A242" s="1">
        <v>46041</v>
      </c>
      <c r="B242" s="21" t="s">
        <v>48</v>
      </c>
      <c r="C242" s="19">
        <v>0.43</v>
      </c>
      <c r="D242">
        <v>25316</v>
      </c>
      <c r="E242">
        <v>25715</v>
      </c>
      <c r="G242" s="49">
        <f t="shared" si="4"/>
        <v>1.0157607836941065</v>
      </c>
      <c r="H242" t="s">
        <v>87</v>
      </c>
      <c r="I242" t="s">
        <v>87</v>
      </c>
      <c r="J242">
        <v>20</v>
      </c>
      <c r="K242" t="s">
        <v>115</v>
      </c>
    </row>
    <row r="243" spans="1:13" x14ac:dyDescent="0.3">
      <c r="A243" s="1">
        <v>46041</v>
      </c>
      <c r="B243" s="21" t="s">
        <v>50</v>
      </c>
      <c r="C243" s="19">
        <v>0.68</v>
      </c>
      <c r="D243">
        <v>6740</v>
      </c>
      <c r="E243">
        <v>7351.5</v>
      </c>
      <c r="G243" s="49">
        <f t="shared" si="4"/>
        <v>1.090727002967359</v>
      </c>
      <c r="H243" t="s">
        <v>90</v>
      </c>
      <c r="I243" t="s">
        <v>90</v>
      </c>
    </row>
    <row r="244" spans="1:13" x14ac:dyDescent="0.3">
      <c r="A244" s="1">
        <v>46041</v>
      </c>
      <c r="B244" s="21" t="s">
        <v>51</v>
      </c>
      <c r="C244" s="19">
        <v>0.60699999999999998</v>
      </c>
      <c r="D244">
        <v>29400</v>
      </c>
      <c r="E244">
        <v>29442</v>
      </c>
      <c r="G244" s="49">
        <f t="shared" ref="G244:G282" si="5">E244/D244</f>
        <v>1.0014285714285713</v>
      </c>
      <c r="H244" t="s">
        <v>60</v>
      </c>
      <c r="I244" t="s">
        <v>60</v>
      </c>
      <c r="J244">
        <v>45</v>
      </c>
      <c r="L244" t="s">
        <v>116</v>
      </c>
    </row>
    <row r="245" spans="1:13" x14ac:dyDescent="0.3">
      <c r="A245" s="1">
        <v>46041</v>
      </c>
      <c r="B245" s="21" t="s">
        <v>52</v>
      </c>
      <c r="C245" s="19">
        <v>0.3</v>
      </c>
      <c r="D245">
        <v>84280</v>
      </c>
      <c r="E245">
        <v>64985</v>
      </c>
      <c r="G245" s="49">
        <f t="shared" si="5"/>
        <v>0.77106074988134787</v>
      </c>
      <c r="H245" t="s">
        <v>90</v>
      </c>
      <c r="I245" t="s">
        <v>90</v>
      </c>
      <c r="J245">
        <v>170</v>
      </c>
      <c r="K245" t="s">
        <v>117</v>
      </c>
      <c r="L245" t="s">
        <v>118</v>
      </c>
    </row>
    <row r="246" spans="1:13" x14ac:dyDescent="0.3">
      <c r="A246" s="1">
        <v>46041</v>
      </c>
      <c r="B246" s="21" t="s">
        <v>53</v>
      </c>
      <c r="C246" s="19" t="s">
        <v>69</v>
      </c>
      <c r="H246" t="s">
        <v>69</v>
      </c>
    </row>
    <row r="247" spans="1:13" x14ac:dyDescent="0.3">
      <c r="A247" s="1">
        <v>46041</v>
      </c>
      <c r="B247" s="21" t="s">
        <v>54</v>
      </c>
      <c r="C247" s="19">
        <v>0.51100000000000001</v>
      </c>
      <c r="D247">
        <v>16315</v>
      </c>
      <c r="E247">
        <v>16619</v>
      </c>
      <c r="G247" s="49">
        <f t="shared" si="5"/>
        <v>1.0186331596690164</v>
      </c>
      <c r="H247" t="s">
        <v>58</v>
      </c>
      <c r="I247" t="s">
        <v>60</v>
      </c>
      <c r="M247">
        <v>1</v>
      </c>
    </row>
    <row r="248" spans="1:13" x14ac:dyDescent="0.3">
      <c r="A248" s="1">
        <v>46042</v>
      </c>
      <c r="B248" s="21" t="s">
        <v>48</v>
      </c>
      <c r="C248" s="19">
        <v>0.47</v>
      </c>
      <c r="D248">
        <v>24357</v>
      </c>
      <c r="E248">
        <v>25507</v>
      </c>
      <c r="G248" s="49">
        <f t="shared" si="5"/>
        <v>1.0472143531633618</v>
      </c>
      <c r="H248" t="s">
        <v>90</v>
      </c>
      <c r="I248" t="s">
        <v>87</v>
      </c>
      <c r="J248">
        <v>95</v>
      </c>
      <c r="K248" t="s">
        <v>119</v>
      </c>
      <c r="L248" t="s">
        <v>120</v>
      </c>
    </row>
    <row r="249" spans="1:13" x14ac:dyDescent="0.3">
      <c r="A249" s="1">
        <v>46042</v>
      </c>
      <c r="B249" s="21" t="s">
        <v>50</v>
      </c>
      <c r="C249" s="19">
        <v>0.375</v>
      </c>
      <c r="D249">
        <v>9495</v>
      </c>
      <c r="E249">
        <v>7600</v>
      </c>
      <c r="G249" s="49">
        <f t="shared" si="5"/>
        <v>0.80042127435492361</v>
      </c>
      <c r="H249" t="s">
        <v>87</v>
      </c>
      <c r="I249" t="s">
        <v>90</v>
      </c>
    </row>
    <row r="250" spans="1:13" x14ac:dyDescent="0.3">
      <c r="A250" s="1">
        <v>46042</v>
      </c>
      <c r="B250" s="21" t="s">
        <v>51</v>
      </c>
      <c r="C250" s="19">
        <v>0.59399999999999997</v>
      </c>
      <c r="D250">
        <v>29925</v>
      </c>
      <c r="E250">
        <v>30177</v>
      </c>
      <c r="G250" s="49">
        <f t="shared" si="5"/>
        <v>1.0084210526315789</v>
      </c>
      <c r="H250" t="s">
        <v>58</v>
      </c>
      <c r="I250" t="s">
        <v>60</v>
      </c>
      <c r="J250">
        <v>60</v>
      </c>
      <c r="L250" t="s">
        <v>121</v>
      </c>
    </row>
    <row r="251" spans="1:13" x14ac:dyDescent="0.3">
      <c r="A251" s="1">
        <v>46042</v>
      </c>
      <c r="B251" s="21" t="s">
        <v>52</v>
      </c>
      <c r="C251" s="19">
        <v>0.316</v>
      </c>
      <c r="D251">
        <v>77782</v>
      </c>
      <c r="E251">
        <v>64626</v>
      </c>
      <c r="G251" s="49">
        <f t="shared" si="5"/>
        <v>0.83086061042400561</v>
      </c>
      <c r="H251" t="s">
        <v>87</v>
      </c>
      <c r="I251" t="s">
        <v>90</v>
      </c>
      <c r="J251">
        <v>140</v>
      </c>
      <c r="K251" t="s">
        <v>122</v>
      </c>
      <c r="L251" t="s">
        <v>123</v>
      </c>
    </row>
    <row r="252" spans="1:13" x14ac:dyDescent="0.3">
      <c r="A252" s="1">
        <v>46042</v>
      </c>
      <c r="B252" s="21" t="s">
        <v>53</v>
      </c>
      <c r="C252" s="19" t="s">
        <v>69</v>
      </c>
    </row>
    <row r="253" spans="1:13" x14ac:dyDescent="0.3">
      <c r="A253" s="1">
        <v>46042</v>
      </c>
      <c r="B253" s="21" t="s">
        <v>54</v>
      </c>
      <c r="C253" s="19">
        <v>0.46100000000000002</v>
      </c>
      <c r="D253">
        <v>14100</v>
      </c>
      <c r="E253">
        <v>14303</v>
      </c>
      <c r="G253" s="49">
        <f t="shared" si="5"/>
        <v>1.0143971631205673</v>
      </c>
      <c r="H253" t="s">
        <v>60</v>
      </c>
      <c r="I253" t="s">
        <v>60</v>
      </c>
    </row>
    <row r="254" spans="1:13" x14ac:dyDescent="0.3">
      <c r="A254" s="1">
        <v>46043</v>
      </c>
      <c r="B254" s="21" t="s">
        <v>48</v>
      </c>
      <c r="C254" s="19">
        <v>0.33600000000000002</v>
      </c>
      <c r="D254">
        <v>23499</v>
      </c>
      <c r="E254">
        <v>24528</v>
      </c>
      <c r="G254" s="49">
        <f t="shared" si="5"/>
        <v>1.0437890974084003</v>
      </c>
      <c r="H254" t="s">
        <v>90</v>
      </c>
      <c r="I254" t="s">
        <v>87</v>
      </c>
    </row>
    <row r="255" spans="1:13" x14ac:dyDescent="0.3">
      <c r="A255" s="1">
        <v>46043</v>
      </c>
      <c r="B255" s="21" t="s">
        <v>50</v>
      </c>
      <c r="C255" s="19">
        <v>0.80600000000000005</v>
      </c>
      <c r="D255">
        <v>9560</v>
      </c>
      <c r="E255">
        <v>9907</v>
      </c>
      <c r="G255" s="49">
        <f t="shared" si="5"/>
        <v>1.036297071129707</v>
      </c>
      <c r="H255" t="s">
        <v>90</v>
      </c>
      <c r="I255" t="s">
        <v>90</v>
      </c>
      <c r="J255">
        <v>38</v>
      </c>
      <c r="K255" t="s">
        <v>124</v>
      </c>
    </row>
    <row r="256" spans="1:13" x14ac:dyDescent="0.3">
      <c r="A256" s="1">
        <v>46043</v>
      </c>
      <c r="B256" s="21" t="s">
        <v>51</v>
      </c>
      <c r="C256" s="19" t="s">
        <v>69</v>
      </c>
    </row>
    <row r="257" spans="1:13" x14ac:dyDescent="0.3">
      <c r="A257" s="1">
        <v>46043</v>
      </c>
      <c r="B257" s="21" t="s">
        <v>52</v>
      </c>
      <c r="C257" s="19">
        <v>0.30199999999999999</v>
      </c>
      <c r="D257">
        <v>108216</v>
      </c>
      <c r="E257">
        <v>67374</v>
      </c>
      <c r="G257" s="49">
        <f t="shared" si="5"/>
        <v>0.62258815701929471</v>
      </c>
      <c r="H257" t="s">
        <v>90</v>
      </c>
      <c r="I257" t="s">
        <v>90</v>
      </c>
      <c r="J257">
        <v>230</v>
      </c>
      <c r="K257" t="s">
        <v>125</v>
      </c>
      <c r="L257" t="s">
        <v>126</v>
      </c>
    </row>
    <row r="258" spans="1:13" x14ac:dyDescent="0.3">
      <c r="A258" s="1">
        <v>46043</v>
      </c>
      <c r="B258" s="21" t="s">
        <v>53</v>
      </c>
      <c r="C258" s="19">
        <v>0.436</v>
      </c>
      <c r="D258">
        <v>51870</v>
      </c>
      <c r="E258">
        <v>51900</v>
      </c>
      <c r="G258" s="49">
        <f t="shared" si="5"/>
        <v>1.0005783689994217</v>
      </c>
    </row>
    <row r="259" spans="1:13" x14ac:dyDescent="0.3">
      <c r="A259" s="1">
        <v>46043</v>
      </c>
      <c r="B259" s="21" t="s">
        <v>54</v>
      </c>
      <c r="C259" s="19">
        <v>0.41599999999999998</v>
      </c>
    </row>
    <row r="260" spans="1:13" x14ac:dyDescent="0.3">
      <c r="A260" s="1">
        <v>46044</v>
      </c>
      <c r="B260" s="21" t="s">
        <v>48</v>
      </c>
      <c r="C260" s="19">
        <v>0.74</v>
      </c>
      <c r="D260">
        <v>38400</v>
      </c>
      <c r="E260">
        <v>37712</v>
      </c>
      <c r="G260" s="49">
        <f t="shared" si="5"/>
        <v>0.98208333333333331</v>
      </c>
      <c r="H260" t="s">
        <v>90</v>
      </c>
      <c r="I260" t="s">
        <v>87</v>
      </c>
    </row>
    <row r="261" spans="1:13" x14ac:dyDescent="0.3">
      <c r="A261" s="1">
        <v>46044</v>
      </c>
      <c r="B261" s="21" t="s">
        <v>50</v>
      </c>
      <c r="C261" s="19">
        <v>0.624</v>
      </c>
      <c r="D261">
        <v>17595</v>
      </c>
      <c r="E261">
        <v>18126</v>
      </c>
      <c r="G261" s="49">
        <f t="shared" si="5"/>
        <v>1.0301790281329923</v>
      </c>
      <c r="H261" t="s">
        <v>69</v>
      </c>
      <c r="I261" t="s">
        <v>90</v>
      </c>
      <c r="J261">
        <v>55</v>
      </c>
      <c r="L261" t="s">
        <v>127</v>
      </c>
    </row>
    <row r="262" spans="1:13" x14ac:dyDescent="0.3">
      <c r="A262" s="1">
        <v>46044</v>
      </c>
      <c r="B262" s="21" t="s">
        <v>51</v>
      </c>
      <c r="C262" s="19">
        <v>0.67600000000000005</v>
      </c>
      <c r="D262">
        <v>31500</v>
      </c>
      <c r="E262">
        <v>31584</v>
      </c>
      <c r="G262" s="49">
        <f t="shared" si="5"/>
        <v>1.0026666666666666</v>
      </c>
      <c r="H262" t="s">
        <v>90</v>
      </c>
      <c r="I262" t="s">
        <v>87</v>
      </c>
    </row>
    <row r="263" spans="1:13" x14ac:dyDescent="0.3">
      <c r="A263" s="1">
        <v>46044</v>
      </c>
      <c r="B263" s="21" t="s">
        <v>52</v>
      </c>
      <c r="C263" s="19">
        <v>0.76300000000000001</v>
      </c>
      <c r="D263">
        <v>90894</v>
      </c>
      <c r="E263">
        <v>132702</v>
      </c>
      <c r="G263" s="49">
        <f t="shared" si="5"/>
        <v>1.4599643540827778</v>
      </c>
      <c r="H263" t="s">
        <v>87</v>
      </c>
      <c r="I263" t="s">
        <v>90</v>
      </c>
    </row>
    <row r="264" spans="1:13" x14ac:dyDescent="0.3">
      <c r="A264" s="1">
        <v>46044</v>
      </c>
      <c r="B264" s="21" t="s">
        <v>53</v>
      </c>
      <c r="C264" s="19" t="s">
        <v>69</v>
      </c>
    </row>
    <row r="265" spans="1:13" x14ac:dyDescent="0.3">
      <c r="A265" s="1">
        <v>46044</v>
      </c>
      <c r="B265" s="21" t="s">
        <v>54</v>
      </c>
      <c r="C265" s="19">
        <v>0.75</v>
      </c>
      <c r="D265">
        <v>11831</v>
      </c>
      <c r="E265">
        <v>11251</v>
      </c>
      <c r="G265" s="49">
        <f t="shared" si="5"/>
        <v>0.95097624883779897</v>
      </c>
      <c r="H265" t="s">
        <v>87</v>
      </c>
      <c r="I265" t="s">
        <v>87</v>
      </c>
      <c r="L265" t="s">
        <v>128</v>
      </c>
    </row>
    <row r="266" spans="1:13" x14ac:dyDescent="0.3">
      <c r="A266" s="1">
        <v>46045</v>
      </c>
      <c r="B266" s="21" t="s">
        <v>48</v>
      </c>
      <c r="C266" s="19">
        <v>0.75</v>
      </c>
      <c r="D266">
        <v>36800</v>
      </c>
      <c r="E266">
        <v>34504</v>
      </c>
      <c r="G266" s="49">
        <f t="shared" si="5"/>
        <v>0.93760869565217386</v>
      </c>
    </row>
    <row r="267" spans="1:13" x14ac:dyDescent="0.3">
      <c r="A267" s="1">
        <v>46045</v>
      </c>
      <c r="B267" s="21" t="s">
        <v>50</v>
      </c>
      <c r="C267" s="19" t="s">
        <v>69</v>
      </c>
    </row>
    <row r="268" spans="1:13" x14ac:dyDescent="0.3">
      <c r="A268" s="1">
        <v>46045</v>
      </c>
      <c r="B268" s="21" t="s">
        <v>51</v>
      </c>
      <c r="C268" s="19">
        <v>0.67600000000000005</v>
      </c>
      <c r="D268">
        <v>31500</v>
      </c>
      <c r="E268">
        <v>31689</v>
      </c>
      <c r="G268" s="49">
        <f t="shared" si="5"/>
        <v>1.006</v>
      </c>
      <c r="H268" t="s">
        <v>90</v>
      </c>
      <c r="M268">
        <v>2</v>
      </c>
    </row>
    <row r="269" spans="1:13" x14ac:dyDescent="0.3">
      <c r="A269" s="1">
        <v>46045</v>
      </c>
      <c r="B269" s="21" t="s">
        <v>52</v>
      </c>
      <c r="C269" s="19">
        <v>0.52100000000000002</v>
      </c>
      <c r="D269">
        <v>112146</v>
      </c>
      <c r="E269">
        <v>105645</v>
      </c>
      <c r="G269" s="49">
        <f t="shared" si="5"/>
        <v>0.94203092397410515</v>
      </c>
    </row>
    <row r="270" spans="1:13" x14ac:dyDescent="0.3">
      <c r="A270" s="1">
        <v>46045</v>
      </c>
      <c r="B270" s="21" t="s">
        <v>53</v>
      </c>
      <c r="C270" s="19" t="s">
        <v>69</v>
      </c>
    </row>
    <row r="271" spans="1:13" x14ac:dyDescent="0.3">
      <c r="A271" s="1">
        <v>46045</v>
      </c>
      <c r="B271" s="21" t="s">
        <v>54</v>
      </c>
      <c r="C271" s="19">
        <v>0.69</v>
      </c>
      <c r="D271">
        <v>16800</v>
      </c>
      <c r="E271">
        <v>10590</v>
      </c>
      <c r="G271" s="49">
        <f t="shared" si="5"/>
        <v>0.63035714285714284</v>
      </c>
      <c r="H271" t="s">
        <v>87</v>
      </c>
      <c r="J271">
        <v>20</v>
      </c>
      <c r="L271" t="s">
        <v>129</v>
      </c>
    </row>
    <row r="272" spans="1:13" x14ac:dyDescent="0.3">
      <c r="A272" s="1">
        <v>46046</v>
      </c>
      <c r="B272" s="21" t="s">
        <v>48</v>
      </c>
      <c r="C272" s="19">
        <v>0.72099999999999997</v>
      </c>
      <c r="D272">
        <v>38400</v>
      </c>
      <c r="E272">
        <v>37576</v>
      </c>
      <c r="G272" s="49">
        <f t="shared" si="5"/>
        <v>0.97854166666666664</v>
      </c>
    </row>
    <row r="273" spans="1:13" x14ac:dyDescent="0.3">
      <c r="A273" s="1">
        <v>46046</v>
      </c>
      <c r="B273" s="21" t="s">
        <v>50</v>
      </c>
      <c r="C273" s="19" t="s">
        <v>69</v>
      </c>
    </row>
    <row r="274" spans="1:13" x14ac:dyDescent="0.3">
      <c r="A274" s="1">
        <v>46046</v>
      </c>
      <c r="B274" s="21" t="s">
        <v>51</v>
      </c>
      <c r="C274" s="19" t="s">
        <v>69</v>
      </c>
    </row>
    <row r="275" spans="1:13" x14ac:dyDescent="0.3">
      <c r="A275" s="1">
        <v>46046</v>
      </c>
      <c r="B275" s="21" t="s">
        <v>52</v>
      </c>
      <c r="C275" s="19">
        <v>0.59499999999999997</v>
      </c>
      <c r="D275">
        <v>92598</v>
      </c>
      <c r="E275">
        <v>94712</v>
      </c>
      <c r="G275" s="49">
        <f t="shared" si="5"/>
        <v>1.0228298667357827</v>
      </c>
    </row>
    <row r="276" spans="1:13" x14ac:dyDescent="0.3">
      <c r="A276" s="1">
        <v>46046</v>
      </c>
      <c r="B276" s="21" t="s">
        <v>53</v>
      </c>
      <c r="C276" s="19">
        <v>0.56299999999999994</v>
      </c>
      <c r="D276">
        <v>48618</v>
      </c>
      <c r="E276">
        <v>50142</v>
      </c>
      <c r="G276" s="49">
        <f t="shared" si="5"/>
        <v>1.0313464149080587</v>
      </c>
    </row>
    <row r="277" spans="1:13" x14ac:dyDescent="0.3">
      <c r="A277" s="1">
        <v>46046</v>
      </c>
      <c r="B277" s="21" t="s">
        <v>54</v>
      </c>
      <c r="C277" s="19" t="s">
        <v>69</v>
      </c>
    </row>
    <row r="278" spans="1:13" x14ac:dyDescent="0.3">
      <c r="A278" s="1">
        <v>46047</v>
      </c>
      <c r="B278" s="21" t="s">
        <v>48</v>
      </c>
      <c r="C278" s="19">
        <v>0.68</v>
      </c>
      <c r="D278">
        <v>35675</v>
      </c>
      <c r="E278">
        <v>36409</v>
      </c>
      <c r="G278" s="49">
        <f t="shared" si="5"/>
        <v>1.0205746320953049</v>
      </c>
      <c r="H278" t="s">
        <v>130</v>
      </c>
      <c r="I278" t="s">
        <v>87</v>
      </c>
      <c r="J278">
        <v>45</v>
      </c>
      <c r="K278" t="s">
        <v>131</v>
      </c>
    </row>
    <row r="279" spans="1:13" x14ac:dyDescent="0.3">
      <c r="A279" s="1">
        <v>46047</v>
      </c>
      <c r="B279" s="21" t="s">
        <v>50</v>
      </c>
      <c r="C279" s="19" t="s">
        <v>69</v>
      </c>
      <c r="H279" t="s">
        <v>87</v>
      </c>
    </row>
    <row r="280" spans="1:13" x14ac:dyDescent="0.3">
      <c r="A280" s="1">
        <v>46047</v>
      </c>
      <c r="B280" s="21" t="s">
        <v>51</v>
      </c>
      <c r="C280" s="19" t="s">
        <v>69</v>
      </c>
    </row>
    <row r="281" spans="1:13" x14ac:dyDescent="0.3">
      <c r="A281" s="1">
        <v>46047</v>
      </c>
      <c r="B281" s="21" t="s">
        <v>52</v>
      </c>
      <c r="C281" s="19">
        <v>0.51</v>
      </c>
      <c r="D281">
        <v>37094</v>
      </c>
      <c r="E281">
        <v>37441</v>
      </c>
      <c r="G281" s="49">
        <f t="shared" si="5"/>
        <v>1.0093546126058122</v>
      </c>
      <c r="H281" t="s">
        <v>87</v>
      </c>
      <c r="I281" t="s">
        <v>87</v>
      </c>
      <c r="J281">
        <v>60</v>
      </c>
      <c r="K281" t="s">
        <v>132</v>
      </c>
      <c r="L281" t="s">
        <v>133</v>
      </c>
    </row>
    <row r="282" spans="1:13" x14ac:dyDescent="0.3">
      <c r="A282" s="1">
        <v>46047</v>
      </c>
      <c r="B282" s="21" t="s">
        <v>53</v>
      </c>
      <c r="C282" s="19">
        <v>0.496</v>
      </c>
      <c r="D282">
        <v>33150</v>
      </c>
      <c r="E282">
        <v>34805</v>
      </c>
      <c r="G282" s="49">
        <f t="shared" si="5"/>
        <v>1.0499245852187029</v>
      </c>
      <c r="H282" t="s">
        <v>69</v>
      </c>
      <c r="K282" t="s">
        <v>134</v>
      </c>
      <c r="L282" t="s">
        <v>135</v>
      </c>
    </row>
    <row r="283" spans="1:13" x14ac:dyDescent="0.3">
      <c r="A283" s="1">
        <v>46047</v>
      </c>
      <c r="B283" s="21" t="s">
        <v>54</v>
      </c>
      <c r="C283" s="19" t="s">
        <v>69</v>
      </c>
    </row>
    <row r="284" spans="1:13" x14ac:dyDescent="0.3">
      <c r="A284" s="20">
        <v>46048</v>
      </c>
      <c r="B284" s="21" t="s">
        <v>48</v>
      </c>
      <c r="C284" s="19">
        <v>0.46</v>
      </c>
      <c r="D284">
        <v>19856</v>
      </c>
      <c r="E284">
        <v>19477.5</v>
      </c>
      <c r="H284" t="s">
        <v>90</v>
      </c>
      <c r="I284" t="s">
        <v>87</v>
      </c>
    </row>
    <row r="285" spans="1:13" x14ac:dyDescent="0.3">
      <c r="A285" s="20">
        <v>46048</v>
      </c>
      <c r="B285" s="21" t="s">
        <v>50</v>
      </c>
      <c r="C285" s="19">
        <v>0.66</v>
      </c>
      <c r="D285">
        <v>11123</v>
      </c>
      <c r="E285">
        <v>8307.5</v>
      </c>
      <c r="H285" t="s">
        <v>90</v>
      </c>
      <c r="I285" t="s">
        <v>90</v>
      </c>
      <c r="J285">
        <v>90</v>
      </c>
      <c r="K285" t="s">
        <v>136</v>
      </c>
      <c r="L285" t="s">
        <v>137</v>
      </c>
    </row>
    <row r="286" spans="1:13" x14ac:dyDescent="0.3">
      <c r="A286" s="20">
        <v>46048</v>
      </c>
      <c r="B286" s="21" t="s">
        <v>51</v>
      </c>
      <c r="C286" s="19">
        <v>0.51</v>
      </c>
      <c r="D286">
        <v>3000</v>
      </c>
      <c r="E286">
        <v>2848</v>
      </c>
      <c r="G286" s="49">
        <f>E286/D286</f>
        <v>0.94933333333333336</v>
      </c>
      <c r="H286" t="s">
        <v>87</v>
      </c>
      <c r="I286" t="s">
        <v>87</v>
      </c>
      <c r="J286">
        <v>50</v>
      </c>
      <c r="K286" t="s">
        <v>138</v>
      </c>
      <c r="M286">
        <v>2</v>
      </c>
    </row>
    <row r="287" spans="1:13" x14ac:dyDescent="0.3">
      <c r="A287" s="20">
        <v>46048</v>
      </c>
      <c r="B287" s="21" t="s">
        <v>52</v>
      </c>
      <c r="C287" s="19">
        <v>0.45</v>
      </c>
      <c r="D287">
        <v>102596</v>
      </c>
      <c r="E287">
        <v>82556</v>
      </c>
      <c r="H287" t="s">
        <v>90</v>
      </c>
      <c r="I287" t="s">
        <v>87</v>
      </c>
      <c r="J287">
        <v>190</v>
      </c>
      <c r="K287" t="s">
        <v>139</v>
      </c>
      <c r="L287" t="s">
        <v>140</v>
      </c>
    </row>
    <row r="288" spans="1:13" x14ac:dyDescent="0.3">
      <c r="A288" s="20">
        <v>46048</v>
      </c>
      <c r="B288" s="21" t="s">
        <v>53</v>
      </c>
      <c r="C288" s="19" t="s">
        <v>69</v>
      </c>
    </row>
    <row r="289" spans="1:12" x14ac:dyDescent="0.3">
      <c r="A289" s="20">
        <v>46048</v>
      </c>
      <c r="B289" s="21" t="s">
        <v>54</v>
      </c>
      <c r="C289" s="19">
        <v>0.65</v>
      </c>
      <c r="D289">
        <v>1723</v>
      </c>
      <c r="E289">
        <v>1764</v>
      </c>
      <c r="G289" s="49">
        <f>E289/D289</f>
        <v>1.0237957051654092</v>
      </c>
      <c r="H289" t="s">
        <v>87</v>
      </c>
      <c r="I289" t="s">
        <v>87</v>
      </c>
      <c r="J289">
        <v>45</v>
      </c>
      <c r="L289" t="s">
        <v>141</v>
      </c>
    </row>
    <row r="290" spans="1:12" x14ac:dyDescent="0.3">
      <c r="A290" s="20">
        <v>46049</v>
      </c>
      <c r="B290" s="21" t="s">
        <v>48</v>
      </c>
      <c r="C290" s="19">
        <v>0.44</v>
      </c>
      <c r="D290">
        <v>26175</v>
      </c>
      <c r="E290">
        <v>18255</v>
      </c>
      <c r="G290" s="49">
        <f>E290/D290</f>
        <v>0.69742120343839542</v>
      </c>
      <c r="H290" s="49" t="s">
        <v>87</v>
      </c>
      <c r="I290" t="s">
        <v>87</v>
      </c>
    </row>
    <row r="291" spans="1:12" x14ac:dyDescent="0.3">
      <c r="A291" s="20">
        <v>46049</v>
      </c>
      <c r="B291" s="21" t="s">
        <v>50</v>
      </c>
      <c r="C291" s="19">
        <v>0.66</v>
      </c>
      <c r="D291">
        <v>12150</v>
      </c>
      <c r="E291">
        <v>12438</v>
      </c>
      <c r="G291" s="49">
        <f>E291/D291</f>
        <v>1.0237037037037038</v>
      </c>
      <c r="H291" s="49" t="s">
        <v>87</v>
      </c>
      <c r="I291" t="s">
        <v>90</v>
      </c>
      <c r="J291">
        <v>115</v>
      </c>
      <c r="K291" t="s">
        <v>142</v>
      </c>
    </row>
    <row r="292" spans="1:12" x14ac:dyDescent="0.3">
      <c r="A292" s="20">
        <v>46049</v>
      </c>
      <c r="B292" s="21" t="s">
        <v>51</v>
      </c>
      <c r="C292" s="19" t="s">
        <v>69</v>
      </c>
      <c r="H292" s="49" t="s">
        <v>87</v>
      </c>
      <c r="I292" t="s">
        <v>87</v>
      </c>
    </row>
    <row r="293" spans="1:12" x14ac:dyDescent="0.3">
      <c r="A293" s="20">
        <v>46049</v>
      </c>
      <c r="B293" s="21" t="s">
        <v>52</v>
      </c>
      <c r="C293" s="19">
        <v>0.53</v>
      </c>
      <c r="D293">
        <v>91351</v>
      </c>
      <c r="E293">
        <v>95331</v>
      </c>
      <c r="G293" s="49">
        <f>E293/D293</f>
        <v>1.0435682149073355</v>
      </c>
      <c r="H293" s="49" t="s">
        <v>90</v>
      </c>
      <c r="I293" t="s">
        <v>87</v>
      </c>
    </row>
    <row r="294" spans="1:12" x14ac:dyDescent="0.3">
      <c r="A294" s="20">
        <v>46049</v>
      </c>
      <c r="B294" s="21" t="s">
        <v>53</v>
      </c>
      <c r="C294" s="19" t="s">
        <v>69</v>
      </c>
    </row>
    <row r="295" spans="1:12" x14ac:dyDescent="0.3">
      <c r="A295" s="20">
        <v>46049</v>
      </c>
      <c r="B295" s="21" t="s">
        <v>54</v>
      </c>
      <c r="C295" s="19" t="s">
        <v>69</v>
      </c>
      <c r="H295" t="s">
        <v>87</v>
      </c>
      <c r="I295" t="s">
        <v>87</v>
      </c>
      <c r="J295">
        <v>95</v>
      </c>
      <c r="K295" t="s">
        <v>143</v>
      </c>
      <c r="L295" t="s">
        <v>144</v>
      </c>
    </row>
    <row r="296" spans="1:12" x14ac:dyDescent="0.3">
      <c r="A296" s="20">
        <v>46050</v>
      </c>
      <c r="B296" s="21" t="s">
        <v>48</v>
      </c>
      <c r="C296" s="19">
        <v>0.53</v>
      </c>
      <c r="D296">
        <v>38320</v>
      </c>
      <c r="E296">
        <v>33168</v>
      </c>
      <c r="G296" s="49">
        <f>E296/D296</f>
        <v>0.86555323590814193</v>
      </c>
      <c r="H296" t="s">
        <v>87</v>
      </c>
      <c r="I296" t="s">
        <v>87</v>
      </c>
    </row>
    <row r="297" spans="1:12" x14ac:dyDescent="0.3">
      <c r="A297" s="20">
        <v>46050</v>
      </c>
      <c r="B297" s="21" t="s">
        <v>50</v>
      </c>
      <c r="C297" s="19">
        <v>0.66</v>
      </c>
      <c r="D297">
        <v>9420</v>
      </c>
      <c r="E297">
        <v>10007</v>
      </c>
      <c r="G297" s="49">
        <f>E297/D297</f>
        <v>1.0623142250530786</v>
      </c>
      <c r="H297" t="s">
        <v>87</v>
      </c>
      <c r="I297" t="s">
        <v>90</v>
      </c>
      <c r="J297">
        <v>60</v>
      </c>
      <c r="K297" t="s">
        <v>145</v>
      </c>
    </row>
    <row r="298" spans="1:12" x14ac:dyDescent="0.3">
      <c r="A298" s="20">
        <v>46050</v>
      </c>
      <c r="B298" s="21" t="s">
        <v>51</v>
      </c>
      <c r="C298" s="19">
        <v>0.6</v>
      </c>
      <c r="D298">
        <v>3270</v>
      </c>
      <c r="E298">
        <v>3284</v>
      </c>
      <c r="G298" s="49">
        <f>E298/D298</f>
        <v>1.0042813455657493</v>
      </c>
    </row>
    <row r="299" spans="1:12" x14ac:dyDescent="0.3">
      <c r="A299" s="20">
        <v>46050</v>
      </c>
      <c r="B299" s="21" t="s">
        <v>52</v>
      </c>
      <c r="C299" s="19">
        <v>0.52</v>
      </c>
      <c r="D299">
        <v>94821</v>
      </c>
      <c r="E299">
        <v>96787</v>
      </c>
      <c r="G299" s="49">
        <f>E299/D299</f>
        <v>1.0207338036932747</v>
      </c>
      <c r="H299" t="s">
        <v>90</v>
      </c>
      <c r="I299" t="s">
        <v>87</v>
      </c>
      <c r="J299">
        <v>55</v>
      </c>
      <c r="K299" t="s">
        <v>146</v>
      </c>
    </row>
    <row r="300" spans="1:12" x14ac:dyDescent="0.3">
      <c r="A300" s="20">
        <v>46050</v>
      </c>
      <c r="B300" s="21" t="s">
        <v>53</v>
      </c>
      <c r="C300" s="19" t="s">
        <v>69</v>
      </c>
    </row>
    <row r="301" spans="1:12" x14ac:dyDescent="0.3">
      <c r="A301" s="20">
        <v>46050</v>
      </c>
      <c r="B301" s="21" t="s">
        <v>54</v>
      </c>
      <c r="C301" s="19">
        <v>0.57999999999999996</v>
      </c>
      <c r="D301">
        <v>2400</v>
      </c>
      <c r="E301">
        <v>2435</v>
      </c>
      <c r="G301" s="49">
        <f>E301/D301</f>
        <v>1.0145833333333334</v>
      </c>
      <c r="J301">
        <v>80</v>
      </c>
      <c r="K301" t="s">
        <v>147</v>
      </c>
    </row>
    <row r="302" spans="1:12" x14ac:dyDescent="0.3">
      <c r="A302" s="1">
        <v>46051</v>
      </c>
      <c r="B302" s="21" t="s">
        <v>48</v>
      </c>
      <c r="C302" s="19">
        <v>0.69</v>
      </c>
      <c r="D302">
        <v>35364</v>
      </c>
      <c r="E302">
        <v>35472</v>
      </c>
      <c r="G302" s="49">
        <f>E302/D302</f>
        <v>1.0030539531727181</v>
      </c>
      <c r="H302" t="s">
        <v>90</v>
      </c>
      <c r="I302" t="s">
        <v>87</v>
      </c>
      <c r="J302">
        <v>65</v>
      </c>
      <c r="K302" t="s">
        <v>148</v>
      </c>
    </row>
    <row r="303" spans="1:12" x14ac:dyDescent="0.3">
      <c r="A303" s="1">
        <v>46051</v>
      </c>
      <c r="B303" s="21" t="s">
        <v>50</v>
      </c>
      <c r="C303" s="19">
        <v>0.56000000000000005</v>
      </c>
      <c r="D303">
        <v>11255</v>
      </c>
      <c r="E303">
        <v>11919</v>
      </c>
      <c r="G303" s="49">
        <f>E303/D303</f>
        <v>1.0589960017769879</v>
      </c>
      <c r="H303" t="s">
        <v>90</v>
      </c>
      <c r="I303" t="s">
        <v>90</v>
      </c>
      <c r="J303">
        <v>45</v>
      </c>
    </row>
    <row r="304" spans="1:12" x14ac:dyDescent="0.3">
      <c r="A304" s="1">
        <v>46051</v>
      </c>
      <c r="B304" s="21" t="s">
        <v>51</v>
      </c>
      <c r="C304" s="19" t="s">
        <v>69</v>
      </c>
      <c r="K304" t="s">
        <v>149</v>
      </c>
    </row>
    <row r="305" spans="1:12" x14ac:dyDescent="0.3">
      <c r="A305" s="1">
        <v>46051</v>
      </c>
      <c r="B305" s="21" t="s">
        <v>52</v>
      </c>
      <c r="C305" s="19">
        <v>0.63</v>
      </c>
      <c r="D305">
        <v>99081</v>
      </c>
      <c r="E305">
        <v>100674</v>
      </c>
      <c r="G305" s="49">
        <f t="shared" ref="G305:G311" si="6">E305/D305</f>
        <v>1.0160777545644473</v>
      </c>
      <c r="H305" t="s">
        <v>90</v>
      </c>
      <c r="I305" t="s">
        <v>90</v>
      </c>
    </row>
    <row r="306" spans="1:12" x14ac:dyDescent="0.3">
      <c r="A306" s="1">
        <v>46051</v>
      </c>
      <c r="B306" s="21" t="s">
        <v>53</v>
      </c>
      <c r="C306" s="19">
        <v>0.6</v>
      </c>
      <c r="D306">
        <v>40800</v>
      </c>
      <c r="E306">
        <v>42978</v>
      </c>
      <c r="G306" s="49">
        <f t="shared" si="6"/>
        <v>1.0533823529411765</v>
      </c>
      <c r="H306" t="s">
        <v>90</v>
      </c>
      <c r="I306" t="s">
        <v>87</v>
      </c>
      <c r="J306">
        <v>60</v>
      </c>
      <c r="K306" t="s">
        <v>150</v>
      </c>
    </row>
    <row r="307" spans="1:12" x14ac:dyDescent="0.3">
      <c r="A307" s="1">
        <v>46051</v>
      </c>
      <c r="B307" s="21" t="s">
        <v>54</v>
      </c>
      <c r="C307" s="19">
        <v>0.57799999999999996</v>
      </c>
      <c r="D307">
        <v>14831</v>
      </c>
      <c r="E307">
        <v>15148.5</v>
      </c>
      <c r="G307" s="49">
        <f t="shared" si="6"/>
        <v>1.0214078619108624</v>
      </c>
      <c r="H307" t="s">
        <v>90</v>
      </c>
      <c r="I307" t="s">
        <v>87</v>
      </c>
    </row>
    <row r="308" spans="1:12" x14ac:dyDescent="0.3">
      <c r="A308" s="1">
        <v>46052</v>
      </c>
      <c r="B308" s="21" t="s">
        <v>48</v>
      </c>
      <c r="C308" s="19">
        <v>0.62</v>
      </c>
      <c r="D308">
        <v>38688</v>
      </c>
      <c r="E308">
        <v>38688</v>
      </c>
      <c r="G308" s="49">
        <f t="shared" si="6"/>
        <v>1</v>
      </c>
    </row>
    <row r="309" spans="1:12" x14ac:dyDescent="0.3">
      <c r="A309" s="1">
        <v>46052</v>
      </c>
      <c r="B309" s="21" t="s">
        <v>50</v>
      </c>
      <c r="C309" s="19">
        <v>0.66</v>
      </c>
      <c r="D309">
        <v>6030</v>
      </c>
      <c r="E309">
        <v>6192</v>
      </c>
      <c r="G309" s="49">
        <f t="shared" si="6"/>
        <v>1.026865671641791</v>
      </c>
    </row>
    <row r="310" spans="1:12" x14ac:dyDescent="0.3">
      <c r="A310" s="1">
        <v>46052</v>
      </c>
      <c r="B310" s="21" t="s">
        <v>51</v>
      </c>
      <c r="C310" s="19">
        <v>0.64400000000000002</v>
      </c>
      <c r="D310">
        <v>33600</v>
      </c>
      <c r="E310">
        <v>28969.5</v>
      </c>
      <c r="G310" s="49">
        <f t="shared" si="6"/>
        <v>0.8621875</v>
      </c>
    </row>
    <row r="311" spans="1:12" x14ac:dyDescent="0.3">
      <c r="A311" s="1">
        <v>46052</v>
      </c>
      <c r="B311" s="21" t="s">
        <v>52</v>
      </c>
      <c r="C311" s="19">
        <v>0.57399999999999995</v>
      </c>
      <c r="D311">
        <v>83993</v>
      </c>
      <c r="E311">
        <v>86448.75</v>
      </c>
      <c r="G311" s="49">
        <f t="shared" si="6"/>
        <v>1.0292375555105782</v>
      </c>
    </row>
    <row r="312" spans="1:12" x14ac:dyDescent="0.3">
      <c r="A312" s="1">
        <v>46052</v>
      </c>
      <c r="B312" s="21" t="s">
        <v>53</v>
      </c>
      <c r="C312" s="19" t="s">
        <v>69</v>
      </c>
    </row>
    <row r="313" spans="1:12" x14ac:dyDescent="0.3">
      <c r="A313" s="1">
        <v>46052</v>
      </c>
      <c r="B313" s="21" t="s">
        <v>54</v>
      </c>
      <c r="C313" s="19">
        <v>0.18</v>
      </c>
      <c r="D313">
        <v>14063</v>
      </c>
      <c r="E313">
        <v>4370.625</v>
      </c>
      <c r="G313" s="49">
        <f>E313/D313</f>
        <v>0.31078894972623194</v>
      </c>
      <c r="L313" t="s">
        <v>151</v>
      </c>
    </row>
    <row r="314" spans="1:12" x14ac:dyDescent="0.3">
      <c r="A314" s="1">
        <v>46053</v>
      </c>
      <c r="B314" s="21" t="s">
        <v>48</v>
      </c>
      <c r="C314" s="19" t="s">
        <v>69</v>
      </c>
      <c r="H314" t="s">
        <v>90</v>
      </c>
      <c r="I314" t="s">
        <v>69</v>
      </c>
    </row>
    <row r="315" spans="1:12" x14ac:dyDescent="0.3">
      <c r="A315" s="1">
        <v>46053</v>
      </c>
      <c r="B315" s="21" t="s">
        <v>50</v>
      </c>
      <c r="C315" s="19" t="s">
        <v>69</v>
      </c>
      <c r="H315" t="s">
        <v>90</v>
      </c>
      <c r="I315" t="s">
        <v>69</v>
      </c>
    </row>
    <row r="316" spans="1:12" x14ac:dyDescent="0.3">
      <c r="A316" s="1">
        <v>46053</v>
      </c>
      <c r="B316" s="21" t="s">
        <v>51</v>
      </c>
      <c r="C316" s="19">
        <v>0.18</v>
      </c>
      <c r="D316">
        <v>26250</v>
      </c>
      <c r="E316">
        <v>420</v>
      </c>
      <c r="G316" s="49">
        <f>E316/D316</f>
        <v>1.6E-2</v>
      </c>
      <c r="K316" t="s">
        <v>152</v>
      </c>
    </row>
    <row r="317" spans="1:12" x14ac:dyDescent="0.3">
      <c r="A317" s="1">
        <v>46053</v>
      </c>
      <c r="B317" s="21" t="s">
        <v>52</v>
      </c>
      <c r="C317" s="19">
        <v>0.57399999999999995</v>
      </c>
      <c r="D317">
        <v>31800</v>
      </c>
      <c r="E317">
        <v>32208</v>
      </c>
      <c r="G317" s="49">
        <f>E317/D317</f>
        <v>1.0128301886792452</v>
      </c>
      <c r="H317" t="s">
        <v>90</v>
      </c>
      <c r="I317" t="s">
        <v>90</v>
      </c>
    </row>
    <row r="318" spans="1:12" x14ac:dyDescent="0.3">
      <c r="A318" s="1">
        <v>46053</v>
      </c>
      <c r="B318" s="21" t="s">
        <v>53</v>
      </c>
      <c r="C318" s="19" t="s">
        <v>69</v>
      </c>
      <c r="D318">
        <v>37542</v>
      </c>
      <c r="E318">
        <v>0</v>
      </c>
      <c r="G318" s="49">
        <f>E318/D318</f>
        <v>0</v>
      </c>
    </row>
    <row r="319" spans="1:12" x14ac:dyDescent="0.3">
      <c r="A319" s="1">
        <v>46053</v>
      </c>
      <c r="B319" s="21" t="s">
        <v>54</v>
      </c>
      <c r="C319" s="19" t="s">
        <v>69</v>
      </c>
    </row>
    <row r="320" spans="1:12" x14ac:dyDescent="0.3">
      <c r="A320" s="1">
        <v>46055</v>
      </c>
      <c r="B320" s="21" t="s">
        <v>48</v>
      </c>
      <c r="C320" s="19">
        <v>0.49</v>
      </c>
      <c r="D320">
        <v>32324</v>
      </c>
      <c r="E320">
        <v>32936</v>
      </c>
      <c r="G320" s="49">
        <f>E320/D320</f>
        <v>1.018933300334117</v>
      </c>
      <c r="H320" t="s">
        <v>87</v>
      </c>
      <c r="I320" t="s">
        <v>87</v>
      </c>
      <c r="J320">
        <v>90</v>
      </c>
      <c r="K320" t="s">
        <v>144</v>
      </c>
    </row>
    <row r="321" spans="1:13" x14ac:dyDescent="0.3">
      <c r="A321" s="1">
        <v>46055</v>
      </c>
      <c r="B321" s="21" t="s">
        <v>50</v>
      </c>
      <c r="C321" s="19">
        <v>0.6</v>
      </c>
      <c r="D321">
        <v>12030</v>
      </c>
      <c r="E321">
        <v>11003</v>
      </c>
      <c r="G321" s="49">
        <f>E321/D321</f>
        <v>0.9146300914380715</v>
      </c>
      <c r="H321" t="s">
        <v>90</v>
      </c>
      <c r="I321" t="s">
        <v>90</v>
      </c>
      <c r="J321">
        <v>150</v>
      </c>
      <c r="K321" t="s">
        <v>153</v>
      </c>
      <c r="L321" t="s">
        <v>154</v>
      </c>
    </row>
    <row r="322" spans="1:13" x14ac:dyDescent="0.3">
      <c r="A322" s="1">
        <v>46055</v>
      </c>
      <c r="B322" s="21" t="s">
        <v>51</v>
      </c>
      <c r="C322" s="19">
        <v>0.69</v>
      </c>
      <c r="D322">
        <v>33600</v>
      </c>
      <c r="E322">
        <v>33660</v>
      </c>
      <c r="G322" s="49">
        <f>E322/D322</f>
        <v>1.0017857142857143</v>
      </c>
      <c r="H322" t="s">
        <v>90</v>
      </c>
      <c r="I322" t="s">
        <v>87</v>
      </c>
      <c r="J322">
        <v>60</v>
      </c>
      <c r="K322" t="s">
        <v>155</v>
      </c>
      <c r="M322">
        <v>0</v>
      </c>
    </row>
    <row r="323" spans="1:13" x14ac:dyDescent="0.3">
      <c r="A323" s="1">
        <v>46055</v>
      </c>
      <c r="B323" s="21" t="s">
        <v>52</v>
      </c>
      <c r="C323" s="19">
        <v>0.44</v>
      </c>
      <c r="D323">
        <v>86420</v>
      </c>
      <c r="E323">
        <v>64047</v>
      </c>
      <c r="G323" s="49">
        <f>E323/D323</f>
        <v>0.7411131682480907</v>
      </c>
      <c r="H323" t="s">
        <v>90</v>
      </c>
      <c r="I323" t="s">
        <v>90</v>
      </c>
      <c r="J323">
        <v>160</v>
      </c>
      <c r="K323" s="65" t="s">
        <v>156</v>
      </c>
      <c r="L323" t="s">
        <v>49</v>
      </c>
    </row>
    <row r="324" spans="1:13" x14ac:dyDescent="0.3">
      <c r="A324" s="1">
        <v>46055</v>
      </c>
      <c r="B324" s="21" t="s">
        <v>53</v>
      </c>
      <c r="H324" t="s">
        <v>87</v>
      </c>
    </row>
    <row r="325" spans="1:13" x14ac:dyDescent="0.3">
      <c r="A325" s="1">
        <v>46055</v>
      </c>
      <c r="B325" s="21" t="s">
        <v>54</v>
      </c>
      <c r="D325">
        <v>18188</v>
      </c>
      <c r="G325" s="49">
        <f>E325/D325</f>
        <v>0</v>
      </c>
      <c r="H325" t="s">
        <v>87</v>
      </c>
      <c r="I325" t="s">
        <v>87</v>
      </c>
      <c r="J325">
        <v>30</v>
      </c>
      <c r="L325" t="s">
        <v>157</v>
      </c>
    </row>
    <row r="326" spans="1:13" x14ac:dyDescent="0.3">
      <c r="A326" s="1">
        <v>46056</v>
      </c>
      <c r="B326" s="21" t="s">
        <v>48</v>
      </c>
      <c r="C326" s="19">
        <v>0.49</v>
      </c>
      <c r="D326">
        <v>19754</v>
      </c>
      <c r="E326">
        <v>20859</v>
      </c>
      <c r="G326" s="49">
        <f>E326/D326</f>
        <v>1.0559380378657488</v>
      </c>
      <c r="H326" t="s">
        <v>87</v>
      </c>
      <c r="I326" t="s">
        <v>87</v>
      </c>
      <c r="J326">
        <v>60</v>
      </c>
      <c r="K326" t="s">
        <v>158</v>
      </c>
      <c r="L326" t="s">
        <v>159</v>
      </c>
    </row>
    <row r="327" spans="1:13" x14ac:dyDescent="0.3">
      <c r="A327" s="1">
        <v>46056</v>
      </c>
      <c r="B327" s="21" t="s">
        <v>50</v>
      </c>
      <c r="C327" s="19">
        <v>0.48</v>
      </c>
      <c r="D327">
        <v>7125</v>
      </c>
      <c r="E327">
        <v>6902</v>
      </c>
      <c r="G327" s="49">
        <f>E327/D327</f>
        <v>0.96870175438596495</v>
      </c>
      <c r="H327" t="s">
        <v>90</v>
      </c>
      <c r="I327" t="s">
        <v>90</v>
      </c>
      <c r="J327">
        <v>170</v>
      </c>
      <c r="K327" t="s">
        <v>160</v>
      </c>
      <c r="L327" t="s">
        <v>82</v>
      </c>
    </row>
    <row r="328" spans="1:13" x14ac:dyDescent="0.3">
      <c r="A328" s="1">
        <v>46056</v>
      </c>
      <c r="B328" s="21" t="s">
        <v>51</v>
      </c>
      <c r="C328" s="19" t="s">
        <v>69</v>
      </c>
      <c r="H328" t="s">
        <v>90</v>
      </c>
      <c r="I328" t="s">
        <v>87</v>
      </c>
    </row>
    <row r="329" spans="1:13" x14ac:dyDescent="0.3">
      <c r="A329" s="1">
        <v>46056</v>
      </c>
      <c r="B329" s="21" t="s">
        <v>52</v>
      </c>
      <c r="C329" s="19">
        <v>0.71</v>
      </c>
      <c r="D329">
        <v>78942</v>
      </c>
      <c r="E329">
        <v>77876</v>
      </c>
      <c r="G329" s="49">
        <f t="shared" ref="G329:G343" si="7">E329/D329</f>
        <v>0.98649641508955943</v>
      </c>
      <c r="H329" t="s">
        <v>90</v>
      </c>
      <c r="I329" t="s">
        <v>90</v>
      </c>
      <c r="J329">
        <v>85</v>
      </c>
      <c r="K329" t="s">
        <v>161</v>
      </c>
      <c r="L329" t="s">
        <v>162</v>
      </c>
    </row>
    <row r="330" spans="1:13" x14ac:dyDescent="0.3">
      <c r="A330" s="1">
        <v>46056</v>
      </c>
      <c r="B330" s="21" t="s">
        <v>53</v>
      </c>
      <c r="C330" s="19">
        <v>0.4</v>
      </c>
      <c r="D330">
        <v>70950</v>
      </c>
      <c r="E330">
        <v>74798</v>
      </c>
      <c r="G330" s="49">
        <f t="shared" si="7"/>
        <v>1.0542353770260746</v>
      </c>
      <c r="H330" t="s">
        <v>69</v>
      </c>
      <c r="I330" t="s">
        <v>69</v>
      </c>
      <c r="J330">
        <v>45</v>
      </c>
      <c r="L330" t="s">
        <v>163</v>
      </c>
    </row>
    <row r="331" spans="1:13" x14ac:dyDescent="0.3">
      <c r="A331" s="1">
        <v>46056</v>
      </c>
      <c r="B331" s="21" t="s">
        <v>54</v>
      </c>
      <c r="C331" s="19">
        <v>0.7</v>
      </c>
      <c r="D331">
        <v>15323</v>
      </c>
      <c r="E331">
        <v>15353</v>
      </c>
      <c r="G331" s="49">
        <f t="shared" si="7"/>
        <v>1.001957841153821</v>
      </c>
      <c r="H331" t="s">
        <v>90</v>
      </c>
      <c r="I331" t="s">
        <v>87</v>
      </c>
      <c r="J331">
        <v>0</v>
      </c>
    </row>
    <row r="332" spans="1:13" x14ac:dyDescent="0.3">
      <c r="A332" s="1">
        <v>46057</v>
      </c>
      <c r="B332" s="21" t="s">
        <v>48</v>
      </c>
      <c r="C332" s="19">
        <v>0.7</v>
      </c>
      <c r="D332">
        <v>32950</v>
      </c>
      <c r="E332">
        <v>33733</v>
      </c>
      <c r="G332" s="49">
        <f t="shared" si="7"/>
        <v>1.0237632776934749</v>
      </c>
      <c r="H332" t="s">
        <v>90</v>
      </c>
      <c r="I332" t="s">
        <v>87</v>
      </c>
      <c r="J332">
        <v>30</v>
      </c>
      <c r="K332" t="s">
        <v>164</v>
      </c>
    </row>
    <row r="333" spans="1:13" x14ac:dyDescent="0.3">
      <c r="A333" s="1">
        <v>46057</v>
      </c>
      <c r="B333" s="21" t="s">
        <v>50</v>
      </c>
      <c r="C333" s="19">
        <v>0.84</v>
      </c>
      <c r="D333">
        <v>11570</v>
      </c>
      <c r="E333">
        <v>11477</v>
      </c>
      <c r="G333" s="49">
        <f t="shared" si="7"/>
        <v>0.99196197061365599</v>
      </c>
      <c r="H333" t="s">
        <v>90</v>
      </c>
      <c r="I333" t="s">
        <v>90</v>
      </c>
    </row>
    <row r="334" spans="1:13" x14ac:dyDescent="0.3">
      <c r="A334" s="1">
        <v>46057</v>
      </c>
      <c r="B334" s="21" t="s">
        <v>51</v>
      </c>
      <c r="C334" s="19">
        <v>0.69</v>
      </c>
      <c r="D334">
        <v>31815</v>
      </c>
      <c r="E334">
        <v>30020</v>
      </c>
      <c r="G334" s="49">
        <f t="shared" si="7"/>
        <v>0.94358007229294361</v>
      </c>
      <c r="H334" t="s">
        <v>90</v>
      </c>
      <c r="I334" t="s">
        <v>87</v>
      </c>
      <c r="K334" t="s">
        <v>165</v>
      </c>
    </row>
    <row r="335" spans="1:13" x14ac:dyDescent="0.3">
      <c r="A335" s="1">
        <v>46057</v>
      </c>
      <c r="B335" s="21" t="s">
        <v>52</v>
      </c>
      <c r="C335" s="19">
        <v>0.59</v>
      </c>
      <c r="D335">
        <v>93540</v>
      </c>
      <c r="E335">
        <v>95005</v>
      </c>
      <c r="G335" s="49">
        <f t="shared" si="7"/>
        <v>1.0156617489843918</v>
      </c>
      <c r="H335" t="s">
        <v>87</v>
      </c>
      <c r="I335" t="s">
        <v>90</v>
      </c>
      <c r="J335">
        <v>180</v>
      </c>
      <c r="K335" t="s">
        <v>166</v>
      </c>
    </row>
    <row r="336" spans="1:13" x14ac:dyDescent="0.3">
      <c r="A336" s="1">
        <v>46057</v>
      </c>
      <c r="B336" s="21" t="s">
        <v>53</v>
      </c>
      <c r="H336" t="s">
        <v>87</v>
      </c>
    </row>
    <row r="337" spans="1:12" x14ac:dyDescent="0.3">
      <c r="A337" s="1">
        <v>46057</v>
      </c>
      <c r="B337" s="21" t="s">
        <v>54</v>
      </c>
      <c r="C337" s="19">
        <v>0.67</v>
      </c>
      <c r="D337">
        <v>14625</v>
      </c>
      <c r="E337">
        <v>15130</v>
      </c>
      <c r="G337" s="49">
        <f t="shared" si="7"/>
        <v>1.0345299145299145</v>
      </c>
      <c r="H337" t="s">
        <v>58</v>
      </c>
      <c r="K337" t="s">
        <v>167</v>
      </c>
    </row>
    <row r="338" spans="1:12" x14ac:dyDescent="0.3">
      <c r="A338" s="1">
        <v>46058</v>
      </c>
      <c r="B338" s="21" t="s">
        <v>48</v>
      </c>
      <c r="C338" s="19">
        <v>0.54</v>
      </c>
      <c r="D338">
        <v>17325</v>
      </c>
      <c r="E338">
        <v>17970</v>
      </c>
      <c r="G338" s="49">
        <f t="shared" si="7"/>
        <v>1.0372294372294373</v>
      </c>
      <c r="H338" t="s">
        <v>90</v>
      </c>
      <c r="I338" t="s">
        <v>87</v>
      </c>
    </row>
    <row r="339" spans="1:12" x14ac:dyDescent="0.3">
      <c r="A339" s="1">
        <v>46058</v>
      </c>
      <c r="B339" s="21" t="s">
        <v>50</v>
      </c>
      <c r="C339" s="19">
        <v>0.6</v>
      </c>
      <c r="D339">
        <v>17910</v>
      </c>
      <c r="E339">
        <v>17046</v>
      </c>
      <c r="G339" s="49">
        <f t="shared" si="7"/>
        <v>0.95175879396984919</v>
      </c>
      <c r="H339" t="s">
        <v>90</v>
      </c>
      <c r="I339" t="s">
        <v>90</v>
      </c>
      <c r="J339">
        <v>30</v>
      </c>
      <c r="L339" t="s">
        <v>168</v>
      </c>
    </row>
    <row r="340" spans="1:12" x14ac:dyDescent="0.3">
      <c r="A340" s="1">
        <v>46058</v>
      </c>
      <c r="B340" s="21" t="s">
        <v>51</v>
      </c>
      <c r="C340" s="19" t="s">
        <v>69</v>
      </c>
      <c r="H340" t="s">
        <v>87</v>
      </c>
      <c r="I340" t="s">
        <v>87</v>
      </c>
    </row>
    <row r="341" spans="1:12" x14ac:dyDescent="0.3">
      <c r="A341" s="1">
        <v>46058</v>
      </c>
      <c r="B341" s="21" t="s">
        <v>52</v>
      </c>
      <c r="C341" s="19">
        <v>0.64</v>
      </c>
      <c r="D341">
        <v>92476</v>
      </c>
      <c r="E341">
        <v>94411</v>
      </c>
      <c r="G341" s="49">
        <f t="shared" si="7"/>
        <v>1.0209243479389247</v>
      </c>
      <c r="H341" t="s">
        <v>90</v>
      </c>
      <c r="I341" t="s">
        <v>90</v>
      </c>
      <c r="J341">
        <v>150</v>
      </c>
      <c r="K341" t="s">
        <v>169</v>
      </c>
      <c r="L341" t="s">
        <v>162</v>
      </c>
    </row>
    <row r="342" spans="1:12" x14ac:dyDescent="0.3">
      <c r="A342" s="1">
        <v>46058</v>
      </c>
      <c r="B342" s="21" t="s">
        <v>53</v>
      </c>
      <c r="H342" t="s">
        <v>87</v>
      </c>
      <c r="I342" t="s">
        <v>87</v>
      </c>
    </row>
    <row r="343" spans="1:12" x14ac:dyDescent="0.3">
      <c r="A343" s="1">
        <v>46058</v>
      </c>
      <c r="B343" s="21" t="s">
        <v>54</v>
      </c>
      <c r="C343" s="19">
        <v>0.69</v>
      </c>
      <c r="D343">
        <v>18293</v>
      </c>
      <c r="E343">
        <v>18569</v>
      </c>
      <c r="G343" s="49">
        <f t="shared" si="7"/>
        <v>1.0150877384791996</v>
      </c>
      <c r="H343" t="s">
        <v>90</v>
      </c>
      <c r="I343" t="s">
        <v>87</v>
      </c>
    </row>
    <row r="344" spans="1:12" x14ac:dyDescent="0.3">
      <c r="A344" s="1">
        <v>46059</v>
      </c>
      <c r="B344" s="21" t="s">
        <v>48</v>
      </c>
      <c r="C344" s="19">
        <v>0.47</v>
      </c>
      <c r="D344">
        <v>18428</v>
      </c>
      <c r="E344">
        <v>17750</v>
      </c>
      <c r="G344" s="49">
        <f>E344/D344</f>
        <v>0.96320816149337962</v>
      </c>
      <c r="H344" t="s">
        <v>90</v>
      </c>
      <c r="I344" t="s">
        <v>87</v>
      </c>
    </row>
    <row r="345" spans="1:12" x14ac:dyDescent="0.3">
      <c r="A345" s="1">
        <v>46059</v>
      </c>
      <c r="B345" s="21" t="s">
        <v>50</v>
      </c>
      <c r="C345" s="19">
        <v>0.61</v>
      </c>
      <c r="D345">
        <v>8109</v>
      </c>
      <c r="E345">
        <v>8730</v>
      </c>
      <c r="G345" s="49">
        <f>E345/D345</f>
        <v>1.0765815760266371</v>
      </c>
      <c r="H345" t="s">
        <v>90</v>
      </c>
      <c r="I345" t="s">
        <v>90</v>
      </c>
    </row>
    <row r="346" spans="1:12" x14ac:dyDescent="0.3">
      <c r="A346" s="1">
        <v>46059</v>
      </c>
      <c r="B346" s="21" t="s">
        <v>51</v>
      </c>
      <c r="C346" s="19">
        <v>0.61</v>
      </c>
      <c r="D346">
        <v>33600</v>
      </c>
      <c r="E346">
        <v>33650</v>
      </c>
      <c r="G346" s="49">
        <f>E346/D346</f>
        <v>1.0014880952380953</v>
      </c>
      <c r="H346" t="s">
        <v>90</v>
      </c>
      <c r="I346" t="s">
        <v>87</v>
      </c>
      <c r="J346">
        <v>200</v>
      </c>
      <c r="K346" t="s">
        <v>170</v>
      </c>
    </row>
    <row r="347" spans="1:12" x14ac:dyDescent="0.3">
      <c r="A347" s="1">
        <v>46059</v>
      </c>
      <c r="B347" s="21" t="s">
        <v>52</v>
      </c>
      <c r="C347" s="19">
        <v>0.51</v>
      </c>
      <c r="D347">
        <v>79124</v>
      </c>
      <c r="E347">
        <v>74588</v>
      </c>
      <c r="G347" s="49">
        <f>E347/D347</f>
        <v>0.94267226126080583</v>
      </c>
      <c r="H347" t="s">
        <v>90</v>
      </c>
      <c r="I347" t="s">
        <v>90</v>
      </c>
      <c r="J347">
        <v>40</v>
      </c>
      <c r="K347" t="s">
        <v>171</v>
      </c>
    </row>
    <row r="348" spans="1:12" x14ac:dyDescent="0.3">
      <c r="A348" s="1">
        <v>46059</v>
      </c>
      <c r="B348" s="21" t="s">
        <v>53</v>
      </c>
    </row>
    <row r="349" spans="1:12" x14ac:dyDescent="0.3">
      <c r="A349" s="1">
        <v>46059</v>
      </c>
      <c r="B349" s="21" t="s">
        <v>54</v>
      </c>
      <c r="D349">
        <v>600</v>
      </c>
      <c r="E349">
        <v>780</v>
      </c>
      <c r="G349" s="49">
        <f>E349/D349</f>
        <v>1.3</v>
      </c>
      <c r="H349" t="s">
        <v>90</v>
      </c>
      <c r="I349" t="s">
        <v>87</v>
      </c>
    </row>
    <row r="350" spans="1:12" x14ac:dyDescent="0.3">
      <c r="A350" s="1">
        <v>46062</v>
      </c>
      <c r="B350" s="21" t="s">
        <v>48</v>
      </c>
      <c r="C350" s="19">
        <v>0.6</v>
      </c>
      <c r="D350">
        <v>19756</v>
      </c>
      <c r="E350">
        <v>19656</v>
      </c>
      <c r="G350" s="49">
        <f>E350/D350</f>
        <v>0.99493824660862518</v>
      </c>
      <c r="H350" t="s">
        <v>90</v>
      </c>
      <c r="I350" t="s">
        <v>87</v>
      </c>
    </row>
    <row r="351" spans="1:12" x14ac:dyDescent="0.3">
      <c r="A351" s="1">
        <v>46062</v>
      </c>
      <c r="B351" s="21" t="s">
        <v>50</v>
      </c>
      <c r="C351" s="19">
        <v>0.6</v>
      </c>
      <c r="D351">
        <v>5705</v>
      </c>
      <c r="E351">
        <v>6344</v>
      </c>
      <c r="G351" s="49">
        <f>E351/D351</f>
        <v>1.1120070113935145</v>
      </c>
      <c r="H351" t="s">
        <v>90</v>
      </c>
      <c r="I351" t="s">
        <v>90</v>
      </c>
      <c r="J351">
        <v>35</v>
      </c>
      <c r="K351" t="s">
        <v>172</v>
      </c>
    </row>
    <row r="352" spans="1:12" x14ac:dyDescent="0.3">
      <c r="A352" s="1">
        <v>46062</v>
      </c>
      <c r="B352" s="21" t="s">
        <v>51</v>
      </c>
      <c r="C352" s="19">
        <v>0.86</v>
      </c>
      <c r="D352">
        <v>34650</v>
      </c>
      <c r="E352">
        <v>34692</v>
      </c>
      <c r="G352" s="49">
        <f>E352/D352</f>
        <v>1.0012121212121212</v>
      </c>
      <c r="H352" t="s">
        <v>90</v>
      </c>
      <c r="I352" t="s">
        <v>87</v>
      </c>
    </row>
    <row r="353" spans="1:12" x14ac:dyDescent="0.3">
      <c r="A353" s="1">
        <v>46062</v>
      </c>
      <c r="B353" s="21" t="s">
        <v>52</v>
      </c>
      <c r="C353" s="19">
        <v>0.64</v>
      </c>
      <c r="D353">
        <v>109192</v>
      </c>
      <c r="E353">
        <v>112128</v>
      </c>
      <c r="G353" s="49">
        <f>E353/D353</f>
        <v>1.0268884167338266</v>
      </c>
      <c r="H353" t="s">
        <v>90</v>
      </c>
      <c r="I353" t="s">
        <v>90</v>
      </c>
      <c r="J353">
        <v>80</v>
      </c>
      <c r="K353" t="s">
        <v>173</v>
      </c>
    </row>
    <row r="354" spans="1:12" x14ac:dyDescent="0.3">
      <c r="A354" s="1">
        <v>46062</v>
      </c>
      <c r="B354" s="21" t="s">
        <v>53</v>
      </c>
    </row>
    <row r="355" spans="1:12" x14ac:dyDescent="0.3">
      <c r="A355" s="1">
        <v>46062</v>
      </c>
      <c r="B355" s="21" t="s">
        <v>54</v>
      </c>
      <c r="D355">
        <v>16330</v>
      </c>
      <c r="E355">
        <v>10174</v>
      </c>
      <c r="G355" s="49">
        <f t="shared" ref="G355:G379" si="8">E355/D355</f>
        <v>0.62302510716472748</v>
      </c>
      <c r="H355" t="s">
        <v>90</v>
      </c>
      <c r="I355" t="s">
        <v>87</v>
      </c>
      <c r="L355" t="s">
        <v>174</v>
      </c>
    </row>
    <row r="356" spans="1:12" x14ac:dyDescent="0.3">
      <c r="A356" s="1">
        <v>46063</v>
      </c>
      <c r="B356" s="21" t="s">
        <v>48</v>
      </c>
      <c r="C356" s="19">
        <v>0.55000000000000004</v>
      </c>
      <c r="D356">
        <v>19496</v>
      </c>
      <c r="E356">
        <v>20935</v>
      </c>
      <c r="G356" s="49">
        <f t="shared" si="8"/>
        <v>1.0738100123102174</v>
      </c>
      <c r="H356" t="s">
        <v>175</v>
      </c>
      <c r="J356">
        <v>35</v>
      </c>
      <c r="K356" t="s">
        <v>176</v>
      </c>
    </row>
    <row r="357" spans="1:12" x14ac:dyDescent="0.3">
      <c r="A357" s="1">
        <v>46063</v>
      </c>
      <c r="B357" s="21" t="s">
        <v>50</v>
      </c>
      <c r="C357" s="19">
        <v>0.5</v>
      </c>
      <c r="D357">
        <v>13050</v>
      </c>
      <c r="E357">
        <v>13063</v>
      </c>
      <c r="G357" s="49">
        <f t="shared" si="8"/>
        <v>1.0009961685823754</v>
      </c>
      <c r="H357" t="s">
        <v>90</v>
      </c>
      <c r="J357">
        <v>35</v>
      </c>
      <c r="L357" t="s">
        <v>177</v>
      </c>
    </row>
    <row r="358" spans="1:12" x14ac:dyDescent="0.3">
      <c r="A358" s="1">
        <v>46063</v>
      </c>
      <c r="B358" s="21" t="s">
        <v>51</v>
      </c>
      <c r="C358" s="19">
        <v>0.59399999999999997</v>
      </c>
      <c r="D358">
        <v>28770</v>
      </c>
      <c r="E358">
        <v>27972</v>
      </c>
      <c r="G358" s="49">
        <f t="shared" si="8"/>
        <v>0.9722627737226277</v>
      </c>
      <c r="H358" t="s">
        <v>87</v>
      </c>
      <c r="I358" t="s">
        <v>87</v>
      </c>
      <c r="J358">
        <v>5</v>
      </c>
      <c r="L358" t="s">
        <v>178</v>
      </c>
    </row>
    <row r="359" spans="1:12" x14ac:dyDescent="0.3">
      <c r="A359" s="1">
        <v>46063</v>
      </c>
      <c r="B359" s="21" t="s">
        <v>52</v>
      </c>
      <c r="C359" s="19">
        <v>0.62</v>
      </c>
      <c r="D359">
        <v>80106</v>
      </c>
      <c r="E359">
        <v>82042</v>
      </c>
      <c r="G359" s="49">
        <f t="shared" si="8"/>
        <v>1.0241679774299053</v>
      </c>
      <c r="H359" t="s">
        <v>90</v>
      </c>
      <c r="J359">
        <v>162</v>
      </c>
      <c r="K359" t="s">
        <v>179</v>
      </c>
    </row>
    <row r="360" spans="1:12" x14ac:dyDescent="0.3">
      <c r="A360" s="1">
        <v>46063</v>
      </c>
      <c r="B360" s="21" t="s">
        <v>53</v>
      </c>
      <c r="H360" t="s">
        <v>90</v>
      </c>
    </row>
    <row r="361" spans="1:12" x14ac:dyDescent="0.3">
      <c r="A361" s="1">
        <v>46063</v>
      </c>
      <c r="B361" s="21" t="s">
        <v>54</v>
      </c>
      <c r="C361" s="19">
        <v>0.44700000000000001</v>
      </c>
      <c r="D361">
        <v>20550</v>
      </c>
      <c r="E361">
        <v>15306</v>
      </c>
      <c r="G361" s="49">
        <f t="shared" si="8"/>
        <v>0.74481751824817521</v>
      </c>
      <c r="H361" t="s">
        <v>90</v>
      </c>
      <c r="I361" t="s">
        <v>87</v>
      </c>
      <c r="J361">
        <v>0</v>
      </c>
    </row>
    <row r="362" spans="1:12" x14ac:dyDescent="0.3">
      <c r="A362" s="1">
        <v>46064</v>
      </c>
      <c r="B362" s="21" t="s">
        <v>48</v>
      </c>
      <c r="C362" s="19">
        <v>0.49</v>
      </c>
      <c r="D362">
        <v>22374</v>
      </c>
      <c r="E362">
        <v>20800</v>
      </c>
      <c r="G362" s="49">
        <f t="shared" si="8"/>
        <v>0.92965048717261112</v>
      </c>
      <c r="H362" t="s">
        <v>90</v>
      </c>
      <c r="I362" t="s">
        <v>87</v>
      </c>
      <c r="J362">
        <v>75</v>
      </c>
    </row>
    <row r="363" spans="1:12" x14ac:dyDescent="0.3">
      <c r="A363" s="1">
        <v>46064</v>
      </c>
      <c r="B363" s="21" t="s">
        <v>50</v>
      </c>
      <c r="C363" s="19">
        <v>0.84</v>
      </c>
      <c r="D363">
        <v>9525</v>
      </c>
      <c r="E363">
        <v>10007</v>
      </c>
      <c r="G363" s="49">
        <f t="shared" si="8"/>
        <v>1.0506036745406824</v>
      </c>
      <c r="H363" t="s">
        <v>69</v>
      </c>
      <c r="I363" t="s">
        <v>90</v>
      </c>
    </row>
    <row r="364" spans="1:12" x14ac:dyDescent="0.3">
      <c r="A364" s="1">
        <v>46064</v>
      </c>
      <c r="B364" s="21" t="s">
        <v>51</v>
      </c>
      <c r="C364" s="19" t="s">
        <v>69</v>
      </c>
    </row>
    <row r="365" spans="1:12" x14ac:dyDescent="0.3">
      <c r="A365" s="1">
        <v>46064</v>
      </c>
      <c r="B365" s="21" t="s">
        <v>52</v>
      </c>
      <c r="C365" s="19">
        <v>0.65</v>
      </c>
      <c r="D365">
        <v>106688</v>
      </c>
      <c r="E365">
        <v>66366</v>
      </c>
      <c r="G365" s="49">
        <f t="shared" si="8"/>
        <v>0.62205683863227357</v>
      </c>
      <c r="H365" t="s">
        <v>90</v>
      </c>
      <c r="I365" t="s">
        <v>90</v>
      </c>
      <c r="J365">
        <v>60</v>
      </c>
    </row>
    <row r="366" spans="1:12" x14ac:dyDescent="0.3">
      <c r="A366" s="1">
        <v>46064</v>
      </c>
      <c r="B366" s="21" t="s">
        <v>53</v>
      </c>
      <c r="C366" s="19">
        <v>0.11</v>
      </c>
      <c r="D366">
        <v>45000</v>
      </c>
      <c r="E366">
        <v>21396</v>
      </c>
      <c r="G366" s="49">
        <f t="shared" si="8"/>
        <v>0.47546666666666665</v>
      </c>
      <c r="J366">
        <v>260</v>
      </c>
    </row>
    <row r="367" spans="1:12" x14ac:dyDescent="0.3">
      <c r="A367" s="1">
        <v>46064</v>
      </c>
      <c r="B367" s="21" t="s">
        <v>54</v>
      </c>
      <c r="D367">
        <v>15960</v>
      </c>
      <c r="E367">
        <v>19990</v>
      </c>
      <c r="G367" s="49">
        <f t="shared" si="8"/>
        <v>1.2525062656641603</v>
      </c>
      <c r="H367" t="s">
        <v>90</v>
      </c>
      <c r="I367" t="s">
        <v>87</v>
      </c>
    </row>
    <row r="368" spans="1:12" x14ac:dyDescent="0.3">
      <c r="A368" s="1">
        <v>46065</v>
      </c>
      <c r="B368" s="21" t="s">
        <v>48</v>
      </c>
      <c r="C368" s="19">
        <v>0.65</v>
      </c>
      <c r="D368">
        <v>28503</v>
      </c>
      <c r="E368">
        <v>28160</v>
      </c>
      <c r="G368" s="49">
        <f t="shared" si="8"/>
        <v>0.98796617899870187</v>
      </c>
      <c r="I368" t="s">
        <v>87</v>
      </c>
      <c r="J368">
        <v>15</v>
      </c>
      <c r="K368" t="s">
        <v>180</v>
      </c>
    </row>
    <row r="369" spans="1:12" x14ac:dyDescent="0.3">
      <c r="A369" s="1">
        <v>46065</v>
      </c>
      <c r="B369" s="21" t="s">
        <v>50</v>
      </c>
      <c r="C369" s="19" t="s">
        <v>69</v>
      </c>
      <c r="G369" s="49" t="e">
        <f t="shared" si="8"/>
        <v>#DIV/0!</v>
      </c>
      <c r="I369" t="s">
        <v>69</v>
      </c>
    </row>
    <row r="370" spans="1:12" x14ac:dyDescent="0.3">
      <c r="A370" s="1">
        <v>46065</v>
      </c>
      <c r="B370" s="21" t="s">
        <v>51</v>
      </c>
      <c r="C370" s="19">
        <v>0.63200000000000001</v>
      </c>
      <c r="D370">
        <v>33600</v>
      </c>
      <c r="E370">
        <v>29410.5</v>
      </c>
      <c r="G370" s="49">
        <f t="shared" si="8"/>
        <v>0.87531250000000005</v>
      </c>
      <c r="H370" t="s">
        <v>87</v>
      </c>
      <c r="I370" t="s">
        <v>87</v>
      </c>
      <c r="J370">
        <v>60</v>
      </c>
      <c r="K370" t="s">
        <v>181</v>
      </c>
    </row>
    <row r="371" spans="1:12" x14ac:dyDescent="0.3">
      <c r="A371" s="1">
        <v>46065</v>
      </c>
      <c r="B371" s="21" t="s">
        <v>52</v>
      </c>
      <c r="C371" s="19">
        <v>0.66</v>
      </c>
      <c r="D371">
        <v>97023</v>
      </c>
      <c r="E371">
        <v>101727</v>
      </c>
      <c r="G371" s="49">
        <f t="shared" si="8"/>
        <v>1.0484833493089267</v>
      </c>
      <c r="I371" t="s">
        <v>90</v>
      </c>
    </row>
    <row r="372" spans="1:12" x14ac:dyDescent="0.3">
      <c r="A372" s="1">
        <v>46065</v>
      </c>
      <c r="B372" s="21" t="s">
        <v>53</v>
      </c>
      <c r="C372" s="19">
        <v>0.2</v>
      </c>
      <c r="D372">
        <v>17400</v>
      </c>
      <c r="E372">
        <v>17400</v>
      </c>
      <c r="G372" s="49">
        <f t="shared" si="8"/>
        <v>1</v>
      </c>
      <c r="I372" t="s">
        <v>87</v>
      </c>
    </row>
    <row r="373" spans="1:12" x14ac:dyDescent="0.3">
      <c r="A373" s="1">
        <v>46065</v>
      </c>
      <c r="B373" s="21" t="s">
        <v>54</v>
      </c>
      <c r="C373" s="19">
        <v>0.56399999999999995</v>
      </c>
      <c r="D373">
        <v>14813</v>
      </c>
      <c r="E373">
        <v>15239.5</v>
      </c>
      <c r="G373" s="49">
        <f t="shared" si="8"/>
        <v>1.0287922770539391</v>
      </c>
    </row>
    <row r="374" spans="1:12" x14ac:dyDescent="0.3">
      <c r="A374" s="1">
        <v>46066</v>
      </c>
      <c r="B374" s="21" t="s">
        <v>48</v>
      </c>
      <c r="C374" s="19">
        <v>0.57999999999999996</v>
      </c>
      <c r="D374">
        <v>27727</v>
      </c>
      <c r="E374">
        <v>30445</v>
      </c>
      <c r="G374" s="49">
        <f t="shared" si="8"/>
        <v>1.098027193710102</v>
      </c>
      <c r="H374" t="s">
        <v>90</v>
      </c>
      <c r="I374" t="s">
        <v>87</v>
      </c>
    </row>
    <row r="375" spans="1:12" x14ac:dyDescent="0.3">
      <c r="A375" s="1">
        <v>46066</v>
      </c>
      <c r="B375" s="21" t="s">
        <v>50</v>
      </c>
      <c r="C375" s="19">
        <v>0.56000000000000005</v>
      </c>
      <c r="D375">
        <v>9878</v>
      </c>
      <c r="E375">
        <v>8338</v>
      </c>
      <c r="G375" s="49">
        <f t="shared" si="8"/>
        <v>0.84409799554565701</v>
      </c>
      <c r="H375" t="s">
        <v>90</v>
      </c>
      <c r="I375" t="s">
        <v>90</v>
      </c>
      <c r="J375">
        <v>90</v>
      </c>
      <c r="L375" t="s">
        <v>182</v>
      </c>
    </row>
    <row r="376" spans="1:12" x14ac:dyDescent="0.3">
      <c r="A376" s="1">
        <v>46066</v>
      </c>
      <c r="B376" s="21" t="s">
        <v>51</v>
      </c>
      <c r="C376" s="19">
        <v>0.79</v>
      </c>
      <c r="D376">
        <v>28765</v>
      </c>
      <c r="E376">
        <v>30800</v>
      </c>
      <c r="G376" s="49">
        <f t="shared" si="8"/>
        <v>1.0707456978967496</v>
      </c>
      <c r="H376" t="s">
        <v>87</v>
      </c>
      <c r="I376" t="s">
        <v>87</v>
      </c>
      <c r="J376">
        <v>45</v>
      </c>
      <c r="K376" t="s">
        <v>183</v>
      </c>
    </row>
    <row r="377" spans="1:12" x14ac:dyDescent="0.3">
      <c r="A377" s="1">
        <v>46066</v>
      </c>
      <c r="B377" s="21" t="s">
        <v>52</v>
      </c>
      <c r="C377" s="19">
        <v>0.5</v>
      </c>
      <c r="D377">
        <v>80912</v>
      </c>
      <c r="E377">
        <v>82429</v>
      </c>
      <c r="G377" s="49">
        <f t="shared" si="8"/>
        <v>1.0187487640893811</v>
      </c>
      <c r="H377" t="s">
        <v>87</v>
      </c>
      <c r="I377" t="s">
        <v>87</v>
      </c>
      <c r="J377">
        <v>40</v>
      </c>
      <c r="L377" t="s">
        <v>56</v>
      </c>
    </row>
    <row r="378" spans="1:12" x14ac:dyDescent="0.3">
      <c r="A378" s="1">
        <v>46066</v>
      </c>
      <c r="B378" s="21" t="s">
        <v>53</v>
      </c>
      <c r="D378">
        <v>31686</v>
      </c>
      <c r="E378">
        <v>32358</v>
      </c>
      <c r="G378" s="49">
        <f t="shared" si="8"/>
        <v>1.021208104525658</v>
      </c>
      <c r="J378">
        <v>90</v>
      </c>
      <c r="K378" t="s">
        <v>184</v>
      </c>
    </row>
    <row r="379" spans="1:12" x14ac:dyDescent="0.3">
      <c r="A379" s="1">
        <v>46066</v>
      </c>
      <c r="B379" s="21" t="s">
        <v>54</v>
      </c>
      <c r="C379" s="19" t="s">
        <v>69</v>
      </c>
      <c r="G379" s="49" t="e">
        <f t="shared" si="8"/>
        <v>#DIV/0!</v>
      </c>
      <c r="H379" t="s">
        <v>87</v>
      </c>
      <c r="I379" t="s">
        <v>87</v>
      </c>
    </row>
    <row r="380" spans="1:12" x14ac:dyDescent="0.3">
      <c r="A380" s="1">
        <v>46069</v>
      </c>
      <c r="B380" s="21" t="s">
        <v>48</v>
      </c>
      <c r="C380" s="19">
        <v>0.65</v>
      </c>
      <c r="D380">
        <v>20612</v>
      </c>
      <c r="E380">
        <v>22344</v>
      </c>
      <c r="G380" s="49">
        <f t="shared" ref="G380:G414" si="9">E380/D380</f>
        <v>1.0840287211333204</v>
      </c>
      <c r="H380" t="s">
        <v>90</v>
      </c>
      <c r="J380">
        <v>65</v>
      </c>
      <c r="K380" t="s">
        <v>180</v>
      </c>
    </row>
    <row r="381" spans="1:12" x14ac:dyDescent="0.3">
      <c r="A381" s="1">
        <v>46069</v>
      </c>
      <c r="B381" s="21" t="s">
        <v>50</v>
      </c>
      <c r="C381" s="19">
        <v>0.83</v>
      </c>
      <c r="D381">
        <v>7320</v>
      </c>
      <c r="E381">
        <v>8285</v>
      </c>
      <c r="G381" s="49">
        <f t="shared" si="9"/>
        <v>1.1318306010928962</v>
      </c>
      <c r="H381" t="s">
        <v>90</v>
      </c>
    </row>
    <row r="382" spans="1:12" x14ac:dyDescent="0.3">
      <c r="A382" s="1">
        <v>46069</v>
      </c>
      <c r="B382" s="21" t="s">
        <v>51</v>
      </c>
      <c r="C382" s="19">
        <v>0.7</v>
      </c>
      <c r="D382">
        <v>31500</v>
      </c>
      <c r="E382">
        <v>31741.5</v>
      </c>
      <c r="G382" s="49">
        <f t="shared" si="9"/>
        <v>1.0076666666666667</v>
      </c>
      <c r="H382" t="s">
        <v>87</v>
      </c>
      <c r="I382" t="s">
        <v>87</v>
      </c>
      <c r="J382">
        <v>10</v>
      </c>
      <c r="K382" t="s">
        <v>162</v>
      </c>
    </row>
    <row r="383" spans="1:12" x14ac:dyDescent="0.3">
      <c r="A383" s="1">
        <v>46069</v>
      </c>
      <c r="B383" s="21" t="s">
        <v>52</v>
      </c>
      <c r="C383" s="19">
        <v>0.62</v>
      </c>
      <c r="D383">
        <v>108456</v>
      </c>
      <c r="E383">
        <v>88215</v>
      </c>
      <c r="G383" s="49">
        <f t="shared" si="9"/>
        <v>0.81337132108873644</v>
      </c>
      <c r="H383" t="s">
        <v>87</v>
      </c>
      <c r="J383">
        <v>95</v>
      </c>
      <c r="L383" t="s">
        <v>185</v>
      </c>
    </row>
    <row r="384" spans="1:12" x14ac:dyDescent="0.3">
      <c r="A384" s="1">
        <v>46069</v>
      </c>
      <c r="B384" s="21" t="s">
        <v>53</v>
      </c>
      <c r="C384" s="19" t="s">
        <v>69</v>
      </c>
      <c r="G384" s="49" t="e">
        <f t="shared" si="9"/>
        <v>#DIV/0!</v>
      </c>
    </row>
    <row r="385" spans="1:12" x14ac:dyDescent="0.3">
      <c r="A385" s="1">
        <v>46069</v>
      </c>
      <c r="B385" s="21" t="s">
        <v>54</v>
      </c>
      <c r="C385" s="19">
        <v>0.52</v>
      </c>
      <c r="D385">
        <v>14445</v>
      </c>
      <c r="E385">
        <v>14947.5</v>
      </c>
      <c r="G385" s="49">
        <f t="shared" si="9"/>
        <v>1.0347871235721704</v>
      </c>
      <c r="H385" t="s">
        <v>90</v>
      </c>
      <c r="I385" t="s">
        <v>87</v>
      </c>
      <c r="J385">
        <v>60</v>
      </c>
      <c r="K385" t="s">
        <v>186</v>
      </c>
      <c r="L385" t="s">
        <v>187</v>
      </c>
    </row>
    <row r="386" spans="1:12" x14ac:dyDescent="0.3">
      <c r="A386" s="1">
        <v>46070</v>
      </c>
      <c r="B386" s="21" t="s">
        <v>48</v>
      </c>
      <c r="C386" s="19">
        <v>0.6</v>
      </c>
      <c r="D386">
        <v>25701</v>
      </c>
      <c r="E386">
        <v>25191</v>
      </c>
      <c r="G386" s="49">
        <f t="shared" si="9"/>
        <v>0.98015641414730947</v>
      </c>
      <c r="H386" t="s">
        <v>87</v>
      </c>
    </row>
    <row r="387" spans="1:12" x14ac:dyDescent="0.3">
      <c r="A387" s="1">
        <v>46070</v>
      </c>
      <c r="B387" s="21" t="s">
        <v>50</v>
      </c>
      <c r="C387" s="19">
        <v>0.62</v>
      </c>
      <c r="D387">
        <v>10004</v>
      </c>
      <c r="E387">
        <v>10147</v>
      </c>
      <c r="G387" s="49">
        <f t="shared" si="9"/>
        <v>1.0142942822870851</v>
      </c>
      <c r="H387" t="s">
        <v>90</v>
      </c>
      <c r="J387">
        <v>70</v>
      </c>
      <c r="L387" t="s">
        <v>188</v>
      </c>
    </row>
    <row r="388" spans="1:12" x14ac:dyDescent="0.3">
      <c r="A388" s="1">
        <v>46070</v>
      </c>
      <c r="B388" s="21" t="s">
        <v>51</v>
      </c>
      <c r="C388" s="19" t="s">
        <v>69</v>
      </c>
      <c r="G388" s="49" t="e">
        <f t="shared" si="9"/>
        <v>#DIV/0!</v>
      </c>
    </row>
    <row r="389" spans="1:12" x14ac:dyDescent="0.3">
      <c r="A389" s="1">
        <v>46070</v>
      </c>
      <c r="B389" s="21" t="s">
        <v>52</v>
      </c>
      <c r="C389" s="19">
        <v>0.5</v>
      </c>
      <c r="D389">
        <v>75906</v>
      </c>
      <c r="E389">
        <v>68468</v>
      </c>
      <c r="G389" s="49">
        <f t="shared" si="9"/>
        <v>0.90201038126103339</v>
      </c>
      <c r="H389" t="s">
        <v>90</v>
      </c>
      <c r="J389">
        <v>360</v>
      </c>
      <c r="L389" t="s">
        <v>189</v>
      </c>
    </row>
    <row r="390" spans="1:12" x14ac:dyDescent="0.3">
      <c r="A390" s="1">
        <v>46070</v>
      </c>
      <c r="B390" s="21" t="s">
        <v>53</v>
      </c>
      <c r="C390" s="19">
        <v>0.28999999999999998</v>
      </c>
      <c r="D390">
        <v>61842</v>
      </c>
      <c r="E390">
        <v>22509</v>
      </c>
      <c r="G390" s="49">
        <f t="shared" si="9"/>
        <v>0.36397593868244882</v>
      </c>
      <c r="H390" t="s">
        <v>87</v>
      </c>
      <c r="J390">
        <v>290</v>
      </c>
      <c r="K390" t="s">
        <v>190</v>
      </c>
    </row>
    <row r="391" spans="1:12" x14ac:dyDescent="0.3">
      <c r="A391" s="1">
        <v>46070</v>
      </c>
      <c r="B391" s="21" t="s">
        <v>54</v>
      </c>
      <c r="C391" s="19">
        <v>0.69</v>
      </c>
      <c r="D391">
        <v>14813</v>
      </c>
      <c r="E391">
        <v>17640</v>
      </c>
      <c r="G391" s="49">
        <f t="shared" si="9"/>
        <v>1.190845878620131</v>
      </c>
      <c r="H391" t="s">
        <v>87</v>
      </c>
      <c r="I391" t="s">
        <v>87</v>
      </c>
      <c r="J391">
        <v>25</v>
      </c>
      <c r="K391" t="s">
        <v>191</v>
      </c>
    </row>
    <row r="392" spans="1:12" x14ac:dyDescent="0.3">
      <c r="A392" s="1">
        <v>46071</v>
      </c>
      <c r="B392" s="21" t="s">
        <v>48</v>
      </c>
      <c r="C392" s="19">
        <v>0.74</v>
      </c>
      <c r="G392" s="49" t="e">
        <f t="shared" si="9"/>
        <v>#DIV/0!</v>
      </c>
    </row>
    <row r="393" spans="1:12" x14ac:dyDescent="0.3">
      <c r="A393" s="1">
        <v>46071</v>
      </c>
      <c r="B393" s="21" t="s">
        <v>50</v>
      </c>
      <c r="C393" s="19">
        <v>0.71</v>
      </c>
      <c r="G393" s="49" t="e">
        <f t="shared" si="9"/>
        <v>#DIV/0!</v>
      </c>
    </row>
    <row r="394" spans="1:12" x14ac:dyDescent="0.3">
      <c r="A394" s="1">
        <v>46071</v>
      </c>
      <c r="B394" s="21" t="s">
        <v>51</v>
      </c>
      <c r="C394" s="19">
        <v>0.26</v>
      </c>
      <c r="D394">
        <v>31994</v>
      </c>
      <c r="E394">
        <v>18710</v>
      </c>
      <c r="G394" s="49">
        <f t="shared" si="9"/>
        <v>0.58479714946552475</v>
      </c>
      <c r="H394" t="s">
        <v>87</v>
      </c>
      <c r="I394" t="s">
        <v>87</v>
      </c>
      <c r="J394">
        <v>120</v>
      </c>
      <c r="K394" t="s">
        <v>192</v>
      </c>
      <c r="L394" t="s">
        <v>193</v>
      </c>
    </row>
    <row r="395" spans="1:12" x14ac:dyDescent="0.3">
      <c r="A395" s="1">
        <v>46071</v>
      </c>
      <c r="B395" s="21" t="s">
        <v>52</v>
      </c>
      <c r="C395" s="19">
        <v>0.35</v>
      </c>
      <c r="D395">
        <v>106097</v>
      </c>
      <c r="E395">
        <v>65478</v>
      </c>
      <c r="G395" s="49">
        <f t="shared" si="9"/>
        <v>0.61715222862097896</v>
      </c>
    </row>
    <row r="396" spans="1:12" x14ac:dyDescent="0.3">
      <c r="A396" s="1">
        <v>46071</v>
      </c>
      <c r="B396" s="21" t="s">
        <v>53</v>
      </c>
      <c r="C396" s="19">
        <v>0.624</v>
      </c>
      <c r="G396" s="49" t="e">
        <f t="shared" si="9"/>
        <v>#DIV/0!</v>
      </c>
    </row>
    <row r="397" spans="1:12" x14ac:dyDescent="0.3">
      <c r="A397" s="1">
        <v>46071</v>
      </c>
      <c r="B397" s="21" t="s">
        <v>54</v>
      </c>
      <c r="C397" s="19" t="s">
        <v>69</v>
      </c>
      <c r="G397" s="49" t="e">
        <f t="shared" si="9"/>
        <v>#DIV/0!</v>
      </c>
      <c r="H397" t="s">
        <v>69</v>
      </c>
    </row>
    <row r="398" spans="1:12" x14ac:dyDescent="0.3">
      <c r="A398" s="1">
        <v>46072</v>
      </c>
      <c r="B398" s="21" t="s">
        <v>48</v>
      </c>
      <c r="C398" s="19">
        <v>0.68799999999999994</v>
      </c>
      <c r="D398">
        <v>65450</v>
      </c>
      <c r="E398">
        <v>63456</v>
      </c>
      <c r="G398" s="49">
        <f t="shared" si="9"/>
        <v>0.96953399541634833</v>
      </c>
      <c r="H398" t="s">
        <v>90</v>
      </c>
      <c r="I398" t="s">
        <v>87</v>
      </c>
      <c r="J398">
        <v>75</v>
      </c>
      <c r="K398" t="s">
        <v>194</v>
      </c>
    </row>
    <row r="399" spans="1:12" x14ac:dyDescent="0.3">
      <c r="A399" s="1">
        <v>46072</v>
      </c>
      <c r="B399" s="21" t="s">
        <v>50</v>
      </c>
      <c r="C399" s="19">
        <v>0.83</v>
      </c>
      <c r="D399">
        <v>8398</v>
      </c>
      <c r="E399">
        <v>8765</v>
      </c>
      <c r="G399" s="49">
        <f t="shared" si="9"/>
        <v>1.0437008811621815</v>
      </c>
      <c r="H399" t="s">
        <v>90</v>
      </c>
      <c r="I399" t="s">
        <v>90</v>
      </c>
      <c r="J399">
        <v>30</v>
      </c>
      <c r="K399" t="s">
        <v>195</v>
      </c>
    </row>
    <row r="400" spans="1:12" x14ac:dyDescent="0.3">
      <c r="A400" s="1">
        <v>46072</v>
      </c>
      <c r="B400" s="21" t="s">
        <v>51</v>
      </c>
      <c r="C400" s="19" t="s">
        <v>69</v>
      </c>
      <c r="G400" s="49" t="e">
        <f t="shared" si="9"/>
        <v>#DIV/0!</v>
      </c>
      <c r="H400" t="s">
        <v>87</v>
      </c>
      <c r="I400" t="s">
        <v>87</v>
      </c>
    </row>
    <row r="401" spans="1:11" x14ac:dyDescent="0.3">
      <c r="A401" s="1">
        <v>46072</v>
      </c>
      <c r="B401" s="21" t="s">
        <v>52</v>
      </c>
      <c r="C401" s="19">
        <v>0.43</v>
      </c>
      <c r="D401">
        <v>106643</v>
      </c>
      <c r="E401">
        <v>81994.5</v>
      </c>
      <c r="G401" s="49">
        <f t="shared" si="9"/>
        <v>0.76886903031610143</v>
      </c>
      <c r="H401" t="s">
        <v>87</v>
      </c>
      <c r="I401" t="s">
        <v>87</v>
      </c>
      <c r="J401">
        <v>75</v>
      </c>
      <c r="K401" t="s">
        <v>196</v>
      </c>
    </row>
    <row r="402" spans="1:11" x14ac:dyDescent="0.3">
      <c r="A402" s="1">
        <v>46072</v>
      </c>
      <c r="B402" s="21" t="s">
        <v>53</v>
      </c>
      <c r="C402" s="19">
        <v>0.45</v>
      </c>
      <c r="D402">
        <v>38046</v>
      </c>
      <c r="E402">
        <v>38082</v>
      </c>
      <c r="G402" s="49">
        <f t="shared" si="9"/>
        <v>1.0009462229932187</v>
      </c>
    </row>
    <row r="403" spans="1:11" x14ac:dyDescent="0.3">
      <c r="A403" s="1">
        <v>46072</v>
      </c>
      <c r="B403" s="21" t="s">
        <v>54</v>
      </c>
      <c r="C403" s="19" t="s">
        <v>69</v>
      </c>
      <c r="G403" s="49" t="e">
        <f t="shared" si="9"/>
        <v>#DIV/0!</v>
      </c>
      <c r="H403" t="s">
        <v>87</v>
      </c>
      <c r="I403" t="s">
        <v>87</v>
      </c>
    </row>
    <row r="404" spans="1:11" x14ac:dyDescent="0.3">
      <c r="A404" s="1">
        <v>46076</v>
      </c>
      <c r="B404" s="21" t="s">
        <v>48</v>
      </c>
      <c r="C404" s="19">
        <v>0.45400000000000001</v>
      </c>
      <c r="D404">
        <v>20990</v>
      </c>
      <c r="E404">
        <v>21887.25</v>
      </c>
      <c r="G404" s="49">
        <f t="shared" si="9"/>
        <v>1.0427465459742735</v>
      </c>
    </row>
    <row r="405" spans="1:11" x14ac:dyDescent="0.3">
      <c r="A405" s="1">
        <v>46076</v>
      </c>
      <c r="B405" s="21" t="s">
        <v>50</v>
      </c>
      <c r="C405" s="19">
        <v>0.68100000000000005</v>
      </c>
      <c r="D405">
        <v>6360</v>
      </c>
      <c r="E405">
        <v>6650</v>
      </c>
      <c r="G405" s="49">
        <f t="shared" si="9"/>
        <v>1.0455974842767295</v>
      </c>
    </row>
    <row r="406" spans="1:11" x14ac:dyDescent="0.3">
      <c r="A406" s="1">
        <v>46076</v>
      </c>
      <c r="B406" s="21" t="s">
        <v>51</v>
      </c>
      <c r="C406" s="19">
        <v>0.65700000000000003</v>
      </c>
      <c r="D406">
        <v>31500</v>
      </c>
      <c r="E406">
        <v>28843.5</v>
      </c>
      <c r="G406" s="49">
        <f t="shared" si="9"/>
        <v>0.91566666666666663</v>
      </c>
    </row>
    <row r="407" spans="1:11" x14ac:dyDescent="0.3">
      <c r="A407" s="1">
        <v>46076</v>
      </c>
      <c r="B407" s="21" t="s">
        <v>52</v>
      </c>
      <c r="C407" s="19">
        <v>0.41899999999999998</v>
      </c>
      <c r="D407">
        <v>105996</v>
      </c>
      <c r="E407">
        <v>95841</v>
      </c>
      <c r="G407" s="49">
        <f t="shared" si="9"/>
        <v>0.90419449790558137</v>
      </c>
    </row>
    <row r="408" spans="1:11" x14ac:dyDescent="0.3">
      <c r="A408" s="1">
        <v>46076</v>
      </c>
      <c r="B408" s="21" t="s">
        <v>53</v>
      </c>
      <c r="C408" s="19" t="s">
        <v>69</v>
      </c>
      <c r="G408" s="49" t="e">
        <f t="shared" si="9"/>
        <v>#DIV/0!</v>
      </c>
    </row>
    <row r="409" spans="1:11" x14ac:dyDescent="0.3">
      <c r="A409" s="1">
        <v>46076</v>
      </c>
      <c r="B409" s="21" t="s">
        <v>54</v>
      </c>
      <c r="C409" s="19">
        <v>0.45100000000000001</v>
      </c>
      <c r="D409">
        <v>16556</v>
      </c>
      <c r="E409">
        <v>12418.875</v>
      </c>
      <c r="G409" s="49">
        <f t="shared" si="9"/>
        <v>0.75011325199323509</v>
      </c>
    </row>
    <row r="410" spans="1:11" x14ac:dyDescent="0.3">
      <c r="A410" s="1">
        <v>46077</v>
      </c>
      <c r="B410" s="21" t="s">
        <v>48</v>
      </c>
      <c r="C410" s="19">
        <v>0.73699999999999999</v>
      </c>
      <c r="D410">
        <v>31680</v>
      </c>
      <c r="E410">
        <v>31372</v>
      </c>
      <c r="G410" s="49">
        <f t="shared" si="9"/>
        <v>0.99027777777777781</v>
      </c>
      <c r="I410" t="s">
        <v>87</v>
      </c>
      <c r="J410">
        <v>70</v>
      </c>
      <c r="K410" t="s">
        <v>197</v>
      </c>
    </row>
    <row r="411" spans="1:11" x14ac:dyDescent="0.3">
      <c r="A411" s="1">
        <v>46077</v>
      </c>
      <c r="B411" s="21" t="s">
        <v>50</v>
      </c>
      <c r="C411" s="19">
        <v>0.52200000000000002</v>
      </c>
      <c r="D411">
        <v>9675</v>
      </c>
      <c r="E411">
        <v>10719</v>
      </c>
      <c r="G411" s="49">
        <f t="shared" si="9"/>
        <v>1.107906976744186</v>
      </c>
      <c r="I411" t="s">
        <v>90</v>
      </c>
      <c r="J411">
        <v>60</v>
      </c>
      <c r="K411" t="s">
        <v>198</v>
      </c>
    </row>
    <row r="412" spans="1:11" x14ac:dyDescent="0.3">
      <c r="A412" s="1">
        <v>46077</v>
      </c>
      <c r="B412" s="21" t="s">
        <v>51</v>
      </c>
      <c r="C412" s="19">
        <v>0.71299999999999997</v>
      </c>
      <c r="D412">
        <v>27875.625</v>
      </c>
      <c r="E412">
        <v>27896.625</v>
      </c>
      <c r="G412" s="49">
        <f t="shared" si="9"/>
        <v>1.000753346337526</v>
      </c>
    </row>
    <row r="413" spans="1:11" x14ac:dyDescent="0.3">
      <c r="A413" s="1">
        <v>46077</v>
      </c>
      <c r="B413" s="21" t="s">
        <v>52</v>
      </c>
      <c r="C413" s="19">
        <v>0.48099999999999998</v>
      </c>
      <c r="D413">
        <v>57822</v>
      </c>
      <c r="E413">
        <v>59587.125</v>
      </c>
      <c r="G413" s="49">
        <f t="shared" si="9"/>
        <v>1.0305268755836878</v>
      </c>
      <c r="I413" t="s">
        <v>90</v>
      </c>
      <c r="J413">
        <v>90</v>
      </c>
      <c r="K413" t="s">
        <v>199</v>
      </c>
    </row>
    <row r="414" spans="1:11" x14ac:dyDescent="0.3">
      <c r="A414" s="1">
        <v>46077</v>
      </c>
      <c r="B414" s="21" t="s">
        <v>53</v>
      </c>
      <c r="C414" s="19">
        <v>0.64600000000000002</v>
      </c>
      <c r="D414">
        <v>71920</v>
      </c>
      <c r="E414">
        <v>72388</v>
      </c>
      <c r="G414" s="49">
        <f t="shared" si="9"/>
        <v>1.0065072302558398</v>
      </c>
    </row>
    <row r="415" spans="1:11" x14ac:dyDescent="0.3">
      <c r="A415" s="1">
        <v>46077</v>
      </c>
      <c r="B415" s="21" t="s">
        <v>54</v>
      </c>
      <c r="C415" s="19" t="s">
        <v>69</v>
      </c>
      <c r="G415" s="49" t="e">
        <f t="shared" ref="G415:G421" si="10">E415/D415</f>
        <v>#DIV/0!</v>
      </c>
    </row>
    <row r="416" spans="1:11" x14ac:dyDescent="0.3">
      <c r="A416" s="1">
        <v>46078</v>
      </c>
      <c r="B416" s="21" t="s">
        <v>48</v>
      </c>
      <c r="C416" s="19">
        <v>0.67300000000000004</v>
      </c>
      <c r="D416">
        <v>80725</v>
      </c>
      <c r="E416">
        <v>74760</v>
      </c>
      <c r="G416" s="49">
        <f t="shared" si="10"/>
        <v>0.92610715391762155</v>
      </c>
      <c r="H416" t="s">
        <v>87</v>
      </c>
      <c r="I416" t="s">
        <v>87</v>
      </c>
      <c r="J416">
        <v>110</v>
      </c>
      <c r="K416" t="s">
        <v>200</v>
      </c>
    </row>
    <row r="417" spans="1:11" x14ac:dyDescent="0.3">
      <c r="A417" s="1">
        <v>46078</v>
      </c>
      <c r="B417" s="21" t="s">
        <v>50</v>
      </c>
      <c r="C417" s="19">
        <v>0.65</v>
      </c>
      <c r="D417">
        <v>8650</v>
      </c>
      <c r="E417">
        <v>8690</v>
      </c>
      <c r="G417" s="49">
        <f t="shared" si="10"/>
        <v>1.0046242774566474</v>
      </c>
      <c r="H417" t="s">
        <v>90</v>
      </c>
      <c r="I417" t="s">
        <v>90</v>
      </c>
      <c r="J417">
        <v>45</v>
      </c>
      <c r="K417" t="s">
        <v>201</v>
      </c>
    </row>
    <row r="418" spans="1:11" x14ac:dyDescent="0.3">
      <c r="A418" s="1">
        <v>46078</v>
      </c>
      <c r="B418" s="21" t="s">
        <v>51</v>
      </c>
      <c r="C418" s="19" t="s">
        <v>69</v>
      </c>
      <c r="G418" s="49" t="e">
        <f t="shared" si="10"/>
        <v>#DIV/0!</v>
      </c>
    </row>
    <row r="419" spans="1:11" x14ac:dyDescent="0.3">
      <c r="A419" s="1">
        <v>46078</v>
      </c>
      <c r="B419" s="21" t="s">
        <v>52</v>
      </c>
      <c r="C419" s="19">
        <v>0.65</v>
      </c>
      <c r="D419">
        <v>105410</v>
      </c>
      <c r="E419">
        <v>105467.25</v>
      </c>
      <c r="G419" s="49">
        <f t="shared" si="10"/>
        <v>1.0005431173512949</v>
      </c>
      <c r="H419" t="s">
        <v>87</v>
      </c>
      <c r="J419">
        <v>90</v>
      </c>
      <c r="K419" t="s">
        <v>202</v>
      </c>
    </row>
    <row r="420" spans="1:11" x14ac:dyDescent="0.3">
      <c r="A420" s="1">
        <v>46078</v>
      </c>
      <c r="B420" s="21" t="s">
        <v>53</v>
      </c>
      <c r="C420" s="19">
        <v>0.28999999999999998</v>
      </c>
      <c r="D420">
        <v>33618</v>
      </c>
      <c r="E420">
        <v>34032</v>
      </c>
      <c r="G420" s="49">
        <f t="shared" si="10"/>
        <v>1.0123148313403534</v>
      </c>
    </row>
    <row r="421" spans="1:11" x14ac:dyDescent="0.3">
      <c r="A421" s="1">
        <v>46078</v>
      </c>
      <c r="B421" s="21" t="s">
        <v>54</v>
      </c>
      <c r="C421" s="19" t="s">
        <v>69</v>
      </c>
      <c r="G421" s="49" t="e">
        <f t="shared" si="10"/>
        <v>#DIV/0!</v>
      </c>
    </row>
    <row r="422" spans="1:11" x14ac:dyDescent="0.3">
      <c r="A422" s="1">
        <v>46079</v>
      </c>
      <c r="B422" s="21" t="s">
        <v>48</v>
      </c>
      <c r="C422" s="19">
        <v>0.56999999999999995</v>
      </c>
      <c r="D422">
        <v>28963</v>
      </c>
      <c r="E422">
        <v>29492</v>
      </c>
      <c r="G422" s="49">
        <f t="shared" ref="G422:G433" si="11">E422/D422</f>
        <v>1.0182646825259813</v>
      </c>
    </row>
    <row r="423" spans="1:11" x14ac:dyDescent="0.3">
      <c r="A423" s="1">
        <v>46079</v>
      </c>
      <c r="B423" s="21" t="s">
        <v>50</v>
      </c>
      <c r="C423" s="19">
        <v>0.56200000000000006</v>
      </c>
      <c r="D423">
        <v>6295</v>
      </c>
      <c r="E423">
        <v>6823</v>
      </c>
      <c r="G423" s="49">
        <f t="shared" si="11"/>
        <v>1.0838760921366164</v>
      </c>
    </row>
    <row r="424" spans="1:11" x14ac:dyDescent="0.3">
      <c r="A424" s="1">
        <v>46079</v>
      </c>
      <c r="B424" s="21" t="s">
        <v>51</v>
      </c>
      <c r="C424" s="19">
        <v>0.65800000000000003</v>
      </c>
      <c r="D424">
        <v>33600</v>
      </c>
      <c r="E424">
        <v>31500</v>
      </c>
      <c r="G424" s="49">
        <f t="shared" si="11"/>
        <v>0.9375</v>
      </c>
    </row>
    <row r="425" spans="1:11" x14ac:dyDescent="0.3">
      <c r="A425" s="1">
        <v>46079</v>
      </c>
      <c r="B425" s="21" t="s">
        <v>52</v>
      </c>
      <c r="C425" s="19">
        <v>0.41699999999999998</v>
      </c>
      <c r="D425">
        <v>71181</v>
      </c>
      <c r="E425">
        <v>68393.25</v>
      </c>
      <c r="G425" s="49">
        <f t="shared" si="11"/>
        <v>0.96083575673283605</v>
      </c>
    </row>
    <row r="426" spans="1:11" x14ac:dyDescent="0.3">
      <c r="A426" s="1">
        <v>46079</v>
      </c>
      <c r="B426" s="21" t="s">
        <v>53</v>
      </c>
      <c r="C426" s="19">
        <v>0.22</v>
      </c>
      <c r="D426">
        <v>5400</v>
      </c>
      <c r="E426">
        <v>3996</v>
      </c>
      <c r="G426" s="49">
        <f t="shared" si="11"/>
        <v>0.74</v>
      </c>
    </row>
    <row r="427" spans="1:11" x14ac:dyDescent="0.3">
      <c r="A427" s="1">
        <v>46079</v>
      </c>
      <c r="B427" s="21" t="s">
        <v>54</v>
      </c>
      <c r="C427" s="19">
        <v>0.4</v>
      </c>
      <c r="D427">
        <v>16853</v>
      </c>
      <c r="E427">
        <v>11937.75</v>
      </c>
      <c r="G427" s="49">
        <f t="shared" si="11"/>
        <v>0.70834569512846379</v>
      </c>
    </row>
    <row r="428" spans="1:11" x14ac:dyDescent="0.3">
      <c r="A428" s="1">
        <v>46083</v>
      </c>
      <c r="B428" s="21" t="s">
        <v>48</v>
      </c>
      <c r="C428" s="19">
        <v>0.65</v>
      </c>
      <c r="D428">
        <v>24287</v>
      </c>
      <c r="E428">
        <v>25084</v>
      </c>
      <c r="G428" s="49">
        <f t="shared" si="11"/>
        <v>1.0328159097459546</v>
      </c>
      <c r="I428" t="s">
        <v>87</v>
      </c>
    </row>
    <row r="429" spans="1:11" x14ac:dyDescent="0.3">
      <c r="A429" s="1">
        <v>46083</v>
      </c>
      <c r="B429" s="21" t="s">
        <v>50</v>
      </c>
      <c r="C429" s="19">
        <v>0.71</v>
      </c>
      <c r="D429">
        <v>9220</v>
      </c>
      <c r="E429">
        <v>9419</v>
      </c>
      <c r="G429" s="49">
        <f t="shared" si="11"/>
        <v>1.0215835140997831</v>
      </c>
      <c r="I429" t="s">
        <v>90</v>
      </c>
    </row>
    <row r="430" spans="1:11" x14ac:dyDescent="0.3">
      <c r="A430" s="1">
        <v>46083</v>
      </c>
      <c r="B430" s="21" t="s">
        <v>51</v>
      </c>
      <c r="C430" s="19">
        <v>0.67</v>
      </c>
      <c r="D430">
        <v>31000</v>
      </c>
      <c r="E430">
        <v>31500</v>
      </c>
      <c r="G430" s="49">
        <f t="shared" si="11"/>
        <v>1.0161290322580645</v>
      </c>
      <c r="H430" t="s">
        <v>87</v>
      </c>
      <c r="I430" t="s">
        <v>87</v>
      </c>
    </row>
    <row r="431" spans="1:11" x14ac:dyDescent="0.3">
      <c r="A431" s="1">
        <v>46083</v>
      </c>
      <c r="B431" s="21" t="s">
        <v>52</v>
      </c>
      <c r="C431" s="19">
        <v>0.45</v>
      </c>
      <c r="D431">
        <v>106346</v>
      </c>
      <c r="E431">
        <v>79810</v>
      </c>
      <c r="G431" s="49">
        <f t="shared" si="11"/>
        <v>0.75047486506309591</v>
      </c>
      <c r="I431" t="s">
        <v>87</v>
      </c>
      <c r="J431">
        <v>160</v>
      </c>
      <c r="K431" t="s">
        <v>203</v>
      </c>
    </row>
    <row r="432" spans="1:11" x14ac:dyDescent="0.3">
      <c r="A432" s="1">
        <v>46083</v>
      </c>
      <c r="B432" s="21" t="s">
        <v>53</v>
      </c>
      <c r="C432" s="19">
        <v>0.247</v>
      </c>
      <c r="D432">
        <v>43200</v>
      </c>
      <c r="E432">
        <v>41000</v>
      </c>
      <c r="G432" s="49">
        <f t="shared" si="11"/>
        <v>0.94907407407407407</v>
      </c>
      <c r="H432" t="s">
        <v>90</v>
      </c>
      <c r="I432" t="s">
        <v>87</v>
      </c>
      <c r="J432">
        <v>120</v>
      </c>
      <c r="K432" t="s">
        <v>204</v>
      </c>
    </row>
    <row r="433" spans="1:12" x14ac:dyDescent="0.3">
      <c r="A433" s="1">
        <v>46083</v>
      </c>
      <c r="B433" s="21" t="s">
        <v>54</v>
      </c>
      <c r="C433" s="19">
        <v>1</v>
      </c>
      <c r="G433" s="49" t="e">
        <f t="shared" si="11"/>
        <v>#DIV/0!</v>
      </c>
      <c r="H433" t="s">
        <v>87</v>
      </c>
      <c r="I433" t="s">
        <v>87</v>
      </c>
    </row>
    <row r="434" spans="1:12" x14ac:dyDescent="0.3">
      <c r="A434" s="1">
        <v>46084</v>
      </c>
      <c r="B434" s="21" t="s">
        <v>48</v>
      </c>
      <c r="C434" s="19">
        <v>0.69</v>
      </c>
      <c r="D434">
        <v>41066</v>
      </c>
      <c r="E434">
        <v>41505</v>
      </c>
      <c r="H434" t="s">
        <v>87</v>
      </c>
      <c r="J434">
        <v>20</v>
      </c>
      <c r="K434" t="s">
        <v>176</v>
      </c>
    </row>
    <row r="435" spans="1:12" x14ac:dyDescent="0.3">
      <c r="A435" s="1">
        <v>46084</v>
      </c>
      <c r="B435" s="21" t="s">
        <v>50</v>
      </c>
      <c r="C435" s="19" t="s">
        <v>69</v>
      </c>
      <c r="H435" t="s">
        <v>90</v>
      </c>
    </row>
    <row r="436" spans="1:12" x14ac:dyDescent="0.3">
      <c r="A436" s="1">
        <v>46084</v>
      </c>
      <c r="B436" s="21" t="s">
        <v>51</v>
      </c>
    </row>
    <row r="437" spans="1:12" x14ac:dyDescent="0.3">
      <c r="A437" s="1">
        <v>46084</v>
      </c>
      <c r="B437" s="21" t="s">
        <v>52</v>
      </c>
      <c r="C437" s="19">
        <v>0.56999999999999995</v>
      </c>
      <c r="D437">
        <v>108177</v>
      </c>
      <c r="E437">
        <v>69654</v>
      </c>
      <c r="H437" t="s">
        <v>90</v>
      </c>
      <c r="J437">
        <v>190</v>
      </c>
      <c r="K437" t="s">
        <v>205</v>
      </c>
      <c r="L437" t="s">
        <v>206</v>
      </c>
    </row>
    <row r="438" spans="1:12" x14ac:dyDescent="0.3">
      <c r="A438" s="1">
        <v>46084</v>
      </c>
      <c r="B438" s="21" t="s">
        <v>53</v>
      </c>
    </row>
    <row r="439" spans="1:12" x14ac:dyDescent="0.3">
      <c r="A439" s="1">
        <v>46084</v>
      </c>
      <c r="B439" s="21" t="s">
        <v>54</v>
      </c>
    </row>
    <row r="440" spans="1:12" x14ac:dyDescent="0.3">
      <c r="A440" s="1">
        <v>46085</v>
      </c>
      <c r="B440" s="21" t="s">
        <v>48</v>
      </c>
    </row>
    <row r="441" spans="1:12" x14ac:dyDescent="0.3">
      <c r="A441" s="1">
        <v>46085</v>
      </c>
      <c r="B441" s="21" t="s">
        <v>50</v>
      </c>
    </row>
    <row r="442" spans="1:12" x14ac:dyDescent="0.3">
      <c r="A442" s="1">
        <v>46085</v>
      </c>
      <c r="B442" s="21" t="s">
        <v>51</v>
      </c>
    </row>
    <row r="443" spans="1:12" x14ac:dyDescent="0.3">
      <c r="A443" s="1">
        <v>46085</v>
      </c>
      <c r="B443" s="21" t="s">
        <v>52</v>
      </c>
    </row>
    <row r="444" spans="1:12" x14ac:dyDescent="0.3">
      <c r="A444" s="1">
        <v>46085</v>
      </c>
      <c r="B444" s="21" t="s">
        <v>53</v>
      </c>
    </row>
    <row r="445" spans="1:12" x14ac:dyDescent="0.3">
      <c r="A445" s="1">
        <v>46085</v>
      </c>
      <c r="B445" s="21" t="s">
        <v>54</v>
      </c>
    </row>
    <row r="1048575" spans="1:1" x14ac:dyDescent="0.3">
      <c r="A1048575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0418-8602-420B-BFC9-E399DE10D891}">
  <dimension ref="A1:V292"/>
  <sheetViews>
    <sheetView zoomScale="90" zoomScaleNormal="90" workbookViewId="0">
      <pane xSplit="1" ySplit="1" topLeftCell="B193" activePane="bottomRight" state="frozen"/>
      <selection pane="topRight" activeCell="B1" sqref="B1"/>
      <selection pane="bottomLeft" activeCell="A2" sqref="A2"/>
      <selection pane="bottomRight" activeCell="V204" sqref="V204"/>
    </sheetView>
  </sheetViews>
  <sheetFormatPr defaultRowHeight="14.4" x14ac:dyDescent="0.3"/>
  <cols>
    <col min="1" max="1" width="12.33203125" customWidth="1"/>
    <col min="2" max="2" width="10.5546875" customWidth="1"/>
    <col min="3" max="3" width="8.88671875" customWidth="1"/>
    <col min="4" max="4" width="9" customWidth="1"/>
    <col min="5" max="5" width="9.6640625" customWidth="1"/>
    <col min="6" max="6" width="8.88671875" customWidth="1"/>
    <col min="7" max="7" width="10.33203125" customWidth="1"/>
    <col min="8" max="8" width="11.6640625" style="76" customWidth="1"/>
    <col min="9" max="9" width="8.88671875" customWidth="1"/>
    <col min="10" max="10" width="9.109375" customWidth="1"/>
    <col min="11" max="11" width="6.33203125" style="4" customWidth="1"/>
    <col min="12" max="12" width="7.6640625" style="49" customWidth="1"/>
    <col min="13" max="13" width="5.6640625" customWidth="1"/>
    <col min="16" max="16" width="10.5546875" customWidth="1"/>
  </cols>
  <sheetData>
    <row r="1" spans="1:18" ht="57.6" x14ac:dyDescent="0.3">
      <c r="A1" s="2" t="s">
        <v>0</v>
      </c>
      <c r="B1" s="2" t="s">
        <v>1</v>
      </c>
      <c r="C1" s="86" t="s">
        <v>207</v>
      </c>
      <c r="D1" s="86" t="s">
        <v>208</v>
      </c>
      <c r="E1" s="86" t="s">
        <v>209</v>
      </c>
      <c r="F1" s="86" t="s">
        <v>210</v>
      </c>
      <c r="G1" s="2"/>
      <c r="H1" s="86" t="s">
        <v>211</v>
      </c>
      <c r="I1" s="86" t="s">
        <v>212</v>
      </c>
      <c r="J1" s="86" t="s">
        <v>213</v>
      </c>
      <c r="K1" s="89" t="s">
        <v>214</v>
      </c>
      <c r="L1" s="72" t="s">
        <v>215</v>
      </c>
      <c r="M1" s="86" t="s">
        <v>9</v>
      </c>
      <c r="N1" s="90" t="s">
        <v>216</v>
      </c>
      <c r="O1" s="90"/>
      <c r="P1" s="90"/>
      <c r="Q1" s="90"/>
      <c r="R1" s="90"/>
    </row>
    <row r="2" spans="1:18" x14ac:dyDescent="0.3">
      <c r="A2" s="1">
        <v>45969</v>
      </c>
      <c r="B2" s="1" t="s">
        <v>10</v>
      </c>
      <c r="C2">
        <v>6</v>
      </c>
      <c r="D2">
        <v>6</v>
      </c>
      <c r="E2">
        <v>8</v>
      </c>
      <c r="F2">
        <v>8</v>
      </c>
      <c r="H2" s="76">
        <v>35540</v>
      </c>
      <c r="I2">
        <v>15</v>
      </c>
      <c r="J2">
        <v>27631</v>
      </c>
      <c r="K2" s="4">
        <f>IFERROR(J2/H2, NA())</f>
        <v>0.77746201463140119</v>
      </c>
    </row>
    <row r="3" spans="1:18" x14ac:dyDescent="0.3">
      <c r="A3" s="1">
        <v>45969</v>
      </c>
      <c r="B3" s="1" t="s">
        <v>12</v>
      </c>
      <c r="C3" s="11"/>
      <c r="D3" s="11"/>
      <c r="E3">
        <v>3</v>
      </c>
      <c r="F3">
        <v>3</v>
      </c>
      <c r="H3" s="87"/>
      <c r="I3" s="11"/>
      <c r="J3" s="11"/>
      <c r="K3" s="4" t="e">
        <f t="shared" ref="K3:K65" si="0">IFERROR(J3/H3, NA())</f>
        <v>#N/A</v>
      </c>
    </row>
    <row r="4" spans="1:18" x14ac:dyDescent="0.3">
      <c r="A4" s="1">
        <v>45971</v>
      </c>
      <c r="B4" s="1" t="s">
        <v>10</v>
      </c>
      <c r="C4">
        <v>0</v>
      </c>
      <c r="D4">
        <v>0</v>
      </c>
      <c r="E4">
        <v>4</v>
      </c>
      <c r="F4">
        <v>4</v>
      </c>
      <c r="H4" s="76">
        <v>17344</v>
      </c>
      <c r="I4">
        <v>8</v>
      </c>
      <c r="J4">
        <v>14807</v>
      </c>
      <c r="K4" s="4">
        <f t="shared" si="0"/>
        <v>0.85372463099630991</v>
      </c>
    </row>
    <row r="5" spans="1:18" x14ac:dyDescent="0.3">
      <c r="A5" s="1">
        <v>45971</v>
      </c>
      <c r="B5" s="1" t="s">
        <v>12</v>
      </c>
      <c r="C5" s="11"/>
      <c r="D5" s="11"/>
      <c r="E5">
        <v>0</v>
      </c>
      <c r="F5">
        <v>0</v>
      </c>
      <c r="H5" s="87"/>
      <c r="I5" s="11"/>
      <c r="J5" s="11"/>
      <c r="K5" s="4" t="e">
        <f t="shared" si="0"/>
        <v>#N/A</v>
      </c>
    </row>
    <row r="6" spans="1:18" x14ac:dyDescent="0.3">
      <c r="A6" s="1">
        <v>45972</v>
      </c>
      <c r="B6" s="1" t="s">
        <v>10</v>
      </c>
      <c r="C6">
        <v>6</v>
      </c>
      <c r="D6">
        <v>6</v>
      </c>
      <c r="E6">
        <v>7</v>
      </c>
      <c r="F6">
        <v>7</v>
      </c>
      <c r="H6" s="76">
        <v>19214</v>
      </c>
      <c r="I6">
        <v>10</v>
      </c>
      <c r="J6">
        <v>18167</v>
      </c>
      <c r="K6" s="4">
        <f t="shared" si="0"/>
        <v>0.94550848339752269</v>
      </c>
    </row>
    <row r="7" spans="1:18" x14ac:dyDescent="0.3">
      <c r="A7" s="1">
        <v>45972</v>
      </c>
      <c r="B7" s="1" t="s">
        <v>12</v>
      </c>
      <c r="C7" s="11"/>
      <c r="D7" s="11"/>
      <c r="E7">
        <v>2</v>
      </c>
      <c r="F7">
        <v>2</v>
      </c>
      <c r="H7" s="87"/>
      <c r="I7" s="11"/>
      <c r="J7" s="11"/>
      <c r="K7" s="4" t="e">
        <f t="shared" si="0"/>
        <v>#N/A</v>
      </c>
    </row>
    <row r="8" spans="1:18" x14ac:dyDescent="0.3">
      <c r="A8" s="1">
        <v>45973</v>
      </c>
      <c r="B8" s="1" t="s">
        <v>10</v>
      </c>
      <c r="C8">
        <v>8</v>
      </c>
      <c r="D8">
        <v>8</v>
      </c>
      <c r="E8">
        <v>8</v>
      </c>
      <c r="F8">
        <v>8</v>
      </c>
      <c r="H8" s="76">
        <v>34117</v>
      </c>
      <c r="I8">
        <v>13</v>
      </c>
      <c r="J8">
        <v>31668</v>
      </c>
      <c r="K8" s="4">
        <f t="shared" si="0"/>
        <v>0.92821760412697485</v>
      </c>
    </row>
    <row r="9" spans="1:18" x14ac:dyDescent="0.3">
      <c r="A9" s="1">
        <v>45973</v>
      </c>
      <c r="B9" s="1" t="s">
        <v>12</v>
      </c>
      <c r="C9" s="11"/>
      <c r="D9" s="11"/>
      <c r="E9">
        <v>2</v>
      </c>
      <c r="F9">
        <v>2</v>
      </c>
      <c r="H9" s="87"/>
      <c r="I9" s="11"/>
      <c r="J9" s="11"/>
      <c r="K9" s="4" t="e">
        <f t="shared" si="0"/>
        <v>#N/A</v>
      </c>
    </row>
    <row r="10" spans="1:18" x14ac:dyDescent="0.3">
      <c r="A10" s="1">
        <v>45974</v>
      </c>
      <c r="B10" s="1" t="s">
        <v>10</v>
      </c>
      <c r="C10">
        <v>7</v>
      </c>
      <c r="D10">
        <v>7</v>
      </c>
      <c r="E10">
        <v>6</v>
      </c>
      <c r="F10">
        <v>6</v>
      </c>
      <c r="H10" s="76">
        <v>34117</v>
      </c>
      <c r="I10">
        <v>13</v>
      </c>
      <c r="J10">
        <v>31668</v>
      </c>
      <c r="K10" s="4">
        <f t="shared" si="0"/>
        <v>0.92821760412697485</v>
      </c>
    </row>
    <row r="11" spans="1:18" x14ac:dyDescent="0.3">
      <c r="A11" s="1">
        <v>45974</v>
      </c>
      <c r="B11" s="1" t="s">
        <v>12</v>
      </c>
      <c r="C11" s="11"/>
      <c r="D11" s="11"/>
      <c r="E11">
        <v>2</v>
      </c>
      <c r="F11">
        <v>2</v>
      </c>
      <c r="H11" s="87"/>
      <c r="I11" s="11"/>
      <c r="J11" s="11"/>
      <c r="K11" s="4" t="e">
        <f t="shared" si="0"/>
        <v>#N/A</v>
      </c>
    </row>
    <row r="12" spans="1:18" x14ac:dyDescent="0.3">
      <c r="A12" s="1">
        <v>45975</v>
      </c>
      <c r="B12" s="1" t="s">
        <v>10</v>
      </c>
      <c r="C12">
        <v>6</v>
      </c>
      <c r="D12">
        <v>6</v>
      </c>
      <c r="E12">
        <v>2</v>
      </c>
      <c r="F12">
        <v>2</v>
      </c>
      <c r="H12" s="76">
        <v>21926</v>
      </c>
      <c r="I12">
        <v>8</v>
      </c>
      <c r="J12">
        <v>20979</v>
      </c>
      <c r="K12" s="4">
        <f t="shared" si="0"/>
        <v>0.95680926753625828</v>
      </c>
    </row>
    <row r="13" spans="1:18" x14ac:dyDescent="0.3">
      <c r="A13" s="1">
        <v>45975</v>
      </c>
      <c r="B13" s="1" t="s">
        <v>12</v>
      </c>
      <c r="C13" s="11"/>
      <c r="D13" s="11"/>
      <c r="E13">
        <v>1</v>
      </c>
      <c r="F13">
        <v>1</v>
      </c>
      <c r="H13" s="87"/>
      <c r="I13" s="11"/>
      <c r="J13" s="11"/>
      <c r="K13" s="4" t="e">
        <f t="shared" si="0"/>
        <v>#N/A</v>
      </c>
    </row>
    <row r="14" spans="1:18" x14ac:dyDescent="0.3">
      <c r="A14" s="1">
        <v>45976</v>
      </c>
      <c r="B14" s="1" t="s">
        <v>10</v>
      </c>
      <c r="C14">
        <v>0</v>
      </c>
      <c r="D14">
        <v>0</v>
      </c>
      <c r="E14">
        <v>5</v>
      </c>
      <c r="F14">
        <v>5</v>
      </c>
      <c r="H14" s="76">
        <v>49576</v>
      </c>
      <c r="I14">
        <v>17</v>
      </c>
      <c r="J14">
        <v>41245</v>
      </c>
      <c r="K14" s="4">
        <f t="shared" si="0"/>
        <v>0.83195497821526543</v>
      </c>
    </row>
    <row r="15" spans="1:18" x14ac:dyDescent="0.3">
      <c r="A15" s="1">
        <v>45976</v>
      </c>
      <c r="B15" s="1" t="s">
        <v>12</v>
      </c>
      <c r="C15" s="11"/>
      <c r="D15" s="11"/>
      <c r="E15">
        <v>1</v>
      </c>
      <c r="F15">
        <v>1</v>
      </c>
      <c r="H15" s="87"/>
      <c r="I15" s="11"/>
      <c r="J15" s="11"/>
      <c r="K15" s="4" t="e">
        <f t="shared" si="0"/>
        <v>#N/A</v>
      </c>
    </row>
    <row r="16" spans="1:18" x14ac:dyDescent="0.3">
      <c r="A16" s="1">
        <v>45977</v>
      </c>
      <c r="B16" s="1" t="s">
        <v>10</v>
      </c>
      <c r="C16">
        <v>0</v>
      </c>
      <c r="D16">
        <v>0</v>
      </c>
      <c r="E16">
        <v>0</v>
      </c>
      <c r="F16">
        <v>0</v>
      </c>
      <c r="H16" s="76">
        <v>0</v>
      </c>
      <c r="I16">
        <v>0</v>
      </c>
      <c r="J16">
        <v>0</v>
      </c>
      <c r="K16" s="4" t="e">
        <f t="shared" ref="K16" si="1">IFERROR(J16/H16, NA())</f>
        <v>#N/A</v>
      </c>
    </row>
    <row r="17" spans="1:11" x14ac:dyDescent="0.3">
      <c r="A17" s="1">
        <v>45977</v>
      </c>
      <c r="B17" s="1" t="s">
        <v>12</v>
      </c>
      <c r="C17" s="11"/>
      <c r="D17" s="11"/>
      <c r="E17">
        <v>0</v>
      </c>
      <c r="F17">
        <v>0</v>
      </c>
      <c r="H17" s="87"/>
      <c r="I17" s="11"/>
      <c r="J17" s="11"/>
    </row>
    <row r="18" spans="1:11" x14ac:dyDescent="0.3">
      <c r="A18" s="1">
        <v>45978</v>
      </c>
      <c r="B18" s="1" t="s">
        <v>10</v>
      </c>
      <c r="C18">
        <v>0</v>
      </c>
      <c r="D18">
        <v>0</v>
      </c>
      <c r="E18">
        <v>6</v>
      </c>
      <c r="F18">
        <v>0</v>
      </c>
      <c r="H18" s="76">
        <v>0</v>
      </c>
      <c r="I18">
        <v>0</v>
      </c>
      <c r="J18">
        <v>0</v>
      </c>
      <c r="K18" s="4" t="e">
        <f t="shared" si="0"/>
        <v>#N/A</v>
      </c>
    </row>
    <row r="19" spans="1:11" x14ac:dyDescent="0.3">
      <c r="A19" s="1">
        <v>45978</v>
      </c>
      <c r="B19" s="1" t="s">
        <v>12</v>
      </c>
      <c r="C19" s="11"/>
      <c r="D19" s="11"/>
      <c r="E19">
        <v>1</v>
      </c>
      <c r="F19">
        <v>1</v>
      </c>
      <c r="H19" s="87"/>
      <c r="I19" s="11"/>
      <c r="J19" s="11"/>
      <c r="K19" s="4" t="e">
        <f t="shared" si="0"/>
        <v>#N/A</v>
      </c>
    </row>
    <row r="20" spans="1:11" x14ac:dyDescent="0.3">
      <c r="A20" s="1">
        <v>45979</v>
      </c>
      <c r="B20" s="1" t="s">
        <v>10</v>
      </c>
      <c r="C20">
        <v>9</v>
      </c>
      <c r="D20">
        <v>8</v>
      </c>
      <c r="E20">
        <v>9</v>
      </c>
      <c r="F20">
        <v>9</v>
      </c>
      <c r="H20" s="76">
        <v>23834</v>
      </c>
      <c r="I20">
        <v>15</v>
      </c>
      <c r="J20">
        <v>22943</v>
      </c>
      <c r="K20" s="4">
        <f t="shared" si="0"/>
        <v>0.96261643030964172</v>
      </c>
    </row>
    <row r="21" spans="1:11" x14ac:dyDescent="0.3">
      <c r="A21" s="1">
        <v>45979</v>
      </c>
      <c r="B21" s="1" t="s">
        <v>12</v>
      </c>
      <c r="C21" s="11"/>
      <c r="D21" s="11"/>
      <c r="E21">
        <v>1</v>
      </c>
      <c r="F21">
        <v>1</v>
      </c>
      <c r="H21" s="87"/>
      <c r="I21" s="11"/>
      <c r="J21" s="11"/>
      <c r="K21" s="4" t="e">
        <f t="shared" si="0"/>
        <v>#N/A</v>
      </c>
    </row>
    <row r="22" spans="1:11" x14ac:dyDescent="0.3">
      <c r="A22" s="1">
        <v>45980</v>
      </c>
      <c r="B22" s="1" t="s">
        <v>10</v>
      </c>
      <c r="C22">
        <v>6</v>
      </c>
      <c r="D22">
        <v>5</v>
      </c>
      <c r="E22">
        <v>11</v>
      </c>
      <c r="F22">
        <v>10</v>
      </c>
      <c r="H22" s="76">
        <v>21846</v>
      </c>
      <c r="I22">
        <v>11</v>
      </c>
      <c r="J22">
        <v>21484</v>
      </c>
    </row>
    <row r="23" spans="1:11" x14ac:dyDescent="0.3">
      <c r="A23" s="1">
        <v>45980</v>
      </c>
      <c r="B23" s="1" t="s">
        <v>12</v>
      </c>
      <c r="C23" s="11"/>
      <c r="D23" s="11"/>
      <c r="E23">
        <v>1</v>
      </c>
      <c r="F23">
        <v>1</v>
      </c>
      <c r="H23" s="87"/>
      <c r="I23" s="11"/>
      <c r="J23" s="11"/>
      <c r="K23" s="4" t="e">
        <f t="shared" si="0"/>
        <v>#N/A</v>
      </c>
    </row>
    <row r="24" spans="1:11" x14ac:dyDescent="0.3">
      <c r="A24" s="1">
        <v>45981</v>
      </c>
      <c r="B24" s="1" t="s">
        <v>10</v>
      </c>
      <c r="C24">
        <v>9</v>
      </c>
      <c r="D24">
        <v>8</v>
      </c>
      <c r="E24">
        <v>10</v>
      </c>
      <c r="F24">
        <v>10</v>
      </c>
      <c r="H24" s="76">
        <v>21623</v>
      </c>
      <c r="I24">
        <v>13</v>
      </c>
      <c r="J24">
        <v>21257</v>
      </c>
      <c r="K24" s="4">
        <f t="shared" si="0"/>
        <v>0.98307357905933501</v>
      </c>
    </row>
    <row r="25" spans="1:11" x14ac:dyDescent="0.3">
      <c r="A25" s="1">
        <v>45981</v>
      </c>
      <c r="B25" s="1" t="s">
        <v>12</v>
      </c>
      <c r="C25" s="11"/>
      <c r="D25" s="11"/>
      <c r="E25">
        <v>4</v>
      </c>
      <c r="F25">
        <v>4</v>
      </c>
      <c r="H25" s="87"/>
      <c r="I25" s="11"/>
      <c r="J25" s="11"/>
      <c r="K25" s="4" t="e">
        <f t="shared" si="0"/>
        <v>#N/A</v>
      </c>
    </row>
    <row r="26" spans="1:11" x14ac:dyDescent="0.3">
      <c r="A26" s="1">
        <v>45982</v>
      </c>
      <c r="B26" s="1" t="s">
        <v>10</v>
      </c>
      <c r="C26">
        <v>9</v>
      </c>
      <c r="D26">
        <v>9</v>
      </c>
      <c r="E26">
        <v>12</v>
      </c>
      <c r="F26">
        <v>12</v>
      </c>
      <c r="H26" s="76">
        <v>38672</v>
      </c>
      <c r="I26">
        <v>14</v>
      </c>
      <c r="J26">
        <v>37284</v>
      </c>
      <c r="K26" s="4">
        <f t="shared" si="0"/>
        <v>0.96410839884153909</v>
      </c>
    </row>
    <row r="27" spans="1:11" x14ac:dyDescent="0.3">
      <c r="A27" s="1">
        <v>45982</v>
      </c>
      <c r="B27" s="1" t="s">
        <v>12</v>
      </c>
      <c r="C27" s="11"/>
      <c r="D27" s="11"/>
      <c r="E27">
        <v>2</v>
      </c>
      <c r="F27">
        <v>2</v>
      </c>
      <c r="H27" s="87"/>
      <c r="I27" s="11"/>
      <c r="J27" s="11"/>
      <c r="K27" s="4" t="e">
        <f t="shared" si="0"/>
        <v>#N/A</v>
      </c>
    </row>
    <row r="28" spans="1:11" x14ac:dyDescent="0.3">
      <c r="A28" s="1">
        <v>45983</v>
      </c>
      <c r="B28" s="1" t="s">
        <v>10</v>
      </c>
      <c r="C28">
        <v>2</v>
      </c>
      <c r="D28">
        <v>2</v>
      </c>
      <c r="E28">
        <v>9</v>
      </c>
      <c r="F28">
        <v>9</v>
      </c>
      <c r="H28" s="76">
        <v>24029</v>
      </c>
      <c r="I28">
        <v>19</v>
      </c>
      <c r="J28">
        <v>22179</v>
      </c>
      <c r="K28" s="4">
        <f t="shared" si="0"/>
        <v>0.92300969661658827</v>
      </c>
    </row>
    <row r="29" spans="1:11" x14ac:dyDescent="0.3">
      <c r="A29" s="1">
        <v>45983</v>
      </c>
      <c r="B29" s="1" t="s">
        <v>12</v>
      </c>
      <c r="C29" s="11"/>
      <c r="D29" s="11"/>
      <c r="E29">
        <v>0</v>
      </c>
      <c r="F29">
        <v>0</v>
      </c>
      <c r="H29" s="87"/>
      <c r="I29" s="11"/>
      <c r="J29" s="11"/>
      <c r="K29" s="4" t="e">
        <f t="shared" si="0"/>
        <v>#N/A</v>
      </c>
    </row>
    <row r="30" spans="1:11" x14ac:dyDescent="0.3">
      <c r="A30" s="1">
        <v>45984</v>
      </c>
      <c r="B30" s="1" t="s">
        <v>10</v>
      </c>
      <c r="C30">
        <v>0</v>
      </c>
      <c r="D30">
        <v>0</v>
      </c>
      <c r="E30">
        <v>0</v>
      </c>
      <c r="F30">
        <v>0</v>
      </c>
      <c r="H30" s="76">
        <v>6040</v>
      </c>
      <c r="I30">
        <v>3</v>
      </c>
      <c r="J30">
        <v>6040</v>
      </c>
      <c r="K30" s="4">
        <f t="shared" si="0"/>
        <v>1</v>
      </c>
    </row>
    <row r="31" spans="1:11" x14ac:dyDescent="0.3">
      <c r="A31" s="1">
        <v>45984</v>
      </c>
      <c r="B31" s="1" t="s">
        <v>12</v>
      </c>
      <c r="C31" s="11"/>
      <c r="D31" s="11"/>
      <c r="E31">
        <v>0</v>
      </c>
      <c r="F31">
        <v>0</v>
      </c>
      <c r="H31" s="87"/>
      <c r="I31" s="11"/>
      <c r="J31" s="11"/>
      <c r="K31" s="4" t="e">
        <f t="shared" si="0"/>
        <v>#N/A</v>
      </c>
    </row>
    <row r="32" spans="1:11" x14ac:dyDescent="0.3">
      <c r="A32" s="1">
        <v>45985</v>
      </c>
      <c r="B32" s="1" t="s">
        <v>10</v>
      </c>
      <c r="C32">
        <v>0</v>
      </c>
      <c r="D32">
        <v>0</v>
      </c>
      <c r="E32">
        <v>0</v>
      </c>
      <c r="F32">
        <v>0</v>
      </c>
      <c r="H32" s="76">
        <v>15866</v>
      </c>
      <c r="I32">
        <v>6</v>
      </c>
      <c r="J32">
        <v>15604</v>
      </c>
      <c r="K32" s="4">
        <f t="shared" si="0"/>
        <v>0.98348670112189585</v>
      </c>
    </row>
    <row r="33" spans="1:11" x14ac:dyDescent="0.3">
      <c r="A33" s="1">
        <v>45985</v>
      </c>
      <c r="B33" s="1" t="s">
        <v>12</v>
      </c>
      <c r="C33" s="11"/>
      <c r="D33" s="11"/>
      <c r="E33">
        <v>0</v>
      </c>
      <c r="F33">
        <v>0</v>
      </c>
      <c r="H33" s="87"/>
      <c r="I33" s="11"/>
      <c r="J33" s="11"/>
      <c r="K33" s="4" t="e">
        <f t="shared" si="0"/>
        <v>#N/A</v>
      </c>
    </row>
    <row r="34" spans="1:11" x14ac:dyDescent="0.3">
      <c r="A34" s="1">
        <v>45986</v>
      </c>
      <c r="B34" s="1" t="s">
        <v>10</v>
      </c>
      <c r="C34">
        <v>11</v>
      </c>
      <c r="D34">
        <v>9</v>
      </c>
      <c r="E34">
        <v>8</v>
      </c>
      <c r="F34">
        <v>8</v>
      </c>
      <c r="H34" s="76">
        <v>22792</v>
      </c>
      <c r="I34">
        <v>9</v>
      </c>
      <c r="J34">
        <v>15644</v>
      </c>
      <c r="K34" s="4">
        <f t="shared" si="0"/>
        <v>0.68638118638118639</v>
      </c>
    </row>
    <row r="35" spans="1:11" x14ac:dyDescent="0.3">
      <c r="A35" s="1">
        <v>45986</v>
      </c>
      <c r="B35" s="1" t="s">
        <v>12</v>
      </c>
      <c r="C35" s="11"/>
      <c r="D35" s="11"/>
      <c r="E35">
        <v>4</v>
      </c>
      <c r="F35">
        <v>4</v>
      </c>
      <c r="H35" s="87"/>
      <c r="I35" s="11"/>
      <c r="J35" s="11"/>
      <c r="K35" s="4" t="e">
        <f t="shared" si="0"/>
        <v>#N/A</v>
      </c>
    </row>
    <row r="36" spans="1:11" x14ac:dyDescent="0.3">
      <c r="A36" s="1">
        <v>45987</v>
      </c>
      <c r="B36" s="1" t="s">
        <v>10</v>
      </c>
      <c r="C36">
        <v>6</v>
      </c>
      <c r="D36">
        <v>6</v>
      </c>
      <c r="E36">
        <v>9</v>
      </c>
      <c r="F36">
        <v>9</v>
      </c>
      <c r="H36" s="76">
        <v>35000</v>
      </c>
      <c r="I36">
        <v>18</v>
      </c>
      <c r="J36">
        <v>29688</v>
      </c>
      <c r="K36" s="4">
        <f t="shared" si="0"/>
        <v>0.84822857142857144</v>
      </c>
    </row>
    <row r="37" spans="1:11" x14ac:dyDescent="0.3">
      <c r="A37" s="1">
        <v>45987</v>
      </c>
      <c r="B37" s="1" t="s">
        <v>12</v>
      </c>
      <c r="C37" s="11"/>
      <c r="D37" s="11"/>
      <c r="E37">
        <v>2</v>
      </c>
      <c r="F37">
        <v>2</v>
      </c>
      <c r="H37" s="87"/>
      <c r="I37" s="11"/>
      <c r="J37" s="11"/>
      <c r="K37" s="4" t="e">
        <f t="shared" si="0"/>
        <v>#N/A</v>
      </c>
    </row>
    <row r="38" spans="1:11" x14ac:dyDescent="0.3">
      <c r="A38" s="1">
        <v>45988</v>
      </c>
      <c r="B38" s="1" t="s">
        <v>10</v>
      </c>
      <c r="C38">
        <v>4</v>
      </c>
      <c r="D38">
        <v>4</v>
      </c>
      <c r="E38">
        <v>2</v>
      </c>
      <c r="F38">
        <v>2</v>
      </c>
      <c r="H38" s="76">
        <v>31163</v>
      </c>
      <c r="I38">
        <v>12</v>
      </c>
      <c r="J38">
        <v>29716</v>
      </c>
      <c r="K38" s="4">
        <f t="shared" si="0"/>
        <v>0.95356672977569557</v>
      </c>
    </row>
    <row r="39" spans="1:11" x14ac:dyDescent="0.3">
      <c r="A39" s="1">
        <v>45988</v>
      </c>
      <c r="B39" s="1" t="s">
        <v>12</v>
      </c>
      <c r="C39" s="11"/>
      <c r="D39" s="11"/>
      <c r="E39">
        <v>3</v>
      </c>
      <c r="F39">
        <v>3</v>
      </c>
      <c r="H39" s="87"/>
      <c r="I39" s="11"/>
      <c r="J39" s="11"/>
      <c r="K39" s="4" t="e">
        <f t="shared" si="0"/>
        <v>#N/A</v>
      </c>
    </row>
    <row r="40" spans="1:11" x14ac:dyDescent="0.3">
      <c r="A40" s="1">
        <v>45990</v>
      </c>
      <c r="B40" s="1" t="s">
        <v>10</v>
      </c>
      <c r="C40" s="12">
        <v>0</v>
      </c>
      <c r="D40" s="12">
        <v>1</v>
      </c>
      <c r="E40" s="12">
        <v>0</v>
      </c>
      <c r="F40" s="12">
        <v>0</v>
      </c>
      <c r="G40" s="12"/>
      <c r="H40" s="88">
        <v>25860</v>
      </c>
      <c r="I40" s="12">
        <v>10</v>
      </c>
      <c r="J40" s="12">
        <v>25454</v>
      </c>
      <c r="K40" s="13"/>
    </row>
    <row r="41" spans="1:11" x14ac:dyDescent="0.3">
      <c r="A41" s="1">
        <v>45990</v>
      </c>
      <c r="B41" s="1" t="s">
        <v>12</v>
      </c>
      <c r="C41" s="11"/>
      <c r="D41" s="11"/>
      <c r="E41">
        <v>0</v>
      </c>
      <c r="F41">
        <v>0</v>
      </c>
      <c r="H41" s="87"/>
      <c r="I41" s="11"/>
      <c r="J41" s="11"/>
    </row>
    <row r="42" spans="1:11" x14ac:dyDescent="0.3">
      <c r="A42" s="1">
        <v>45991</v>
      </c>
      <c r="B42" s="1" t="s">
        <v>10</v>
      </c>
      <c r="C42">
        <v>0</v>
      </c>
      <c r="D42">
        <v>0</v>
      </c>
      <c r="E42">
        <v>0</v>
      </c>
      <c r="F42">
        <v>0</v>
      </c>
      <c r="H42" s="76">
        <v>10908</v>
      </c>
      <c r="I42">
        <v>5</v>
      </c>
      <c r="J42">
        <v>10908</v>
      </c>
      <c r="K42" s="4">
        <f t="shared" ref="K42:K43" si="2">IFERROR(J42/H42, NA())</f>
        <v>1</v>
      </c>
    </row>
    <row r="43" spans="1:11" x14ac:dyDescent="0.3">
      <c r="A43" s="1">
        <v>45991</v>
      </c>
      <c r="B43" s="1" t="s">
        <v>12</v>
      </c>
      <c r="C43" s="11"/>
      <c r="D43" s="11"/>
      <c r="E43">
        <v>0</v>
      </c>
      <c r="F43">
        <v>0</v>
      </c>
      <c r="H43" s="87"/>
      <c r="I43" s="11"/>
      <c r="J43" s="11"/>
      <c r="K43" s="4" t="e">
        <f t="shared" si="2"/>
        <v>#N/A</v>
      </c>
    </row>
    <row r="44" spans="1:11" x14ac:dyDescent="0.3">
      <c r="A44" s="1">
        <v>45992</v>
      </c>
      <c r="B44" s="1" t="s">
        <v>10</v>
      </c>
      <c r="C44">
        <v>7</v>
      </c>
      <c r="D44">
        <v>7</v>
      </c>
      <c r="E44">
        <v>0</v>
      </c>
      <c r="F44">
        <v>0</v>
      </c>
      <c r="H44" s="76">
        <v>754</v>
      </c>
      <c r="I44">
        <v>2</v>
      </c>
      <c r="J44">
        <v>754</v>
      </c>
      <c r="K44" s="4">
        <f t="shared" si="0"/>
        <v>1</v>
      </c>
    </row>
    <row r="45" spans="1:11" x14ac:dyDescent="0.3">
      <c r="A45" s="1">
        <v>45992</v>
      </c>
      <c r="B45" s="1" t="s">
        <v>12</v>
      </c>
      <c r="C45" s="11"/>
      <c r="D45" s="11"/>
      <c r="E45">
        <v>2</v>
      </c>
      <c r="F45">
        <v>2</v>
      </c>
      <c r="H45" s="87"/>
      <c r="I45" s="11"/>
      <c r="J45" s="11"/>
      <c r="K45" s="4" t="e">
        <f t="shared" si="0"/>
        <v>#N/A</v>
      </c>
    </row>
    <row r="46" spans="1:11" x14ac:dyDescent="0.3">
      <c r="A46" s="1">
        <v>45993</v>
      </c>
      <c r="B46" s="1" t="s">
        <v>10</v>
      </c>
      <c r="C46">
        <v>8</v>
      </c>
      <c r="D46">
        <v>8</v>
      </c>
      <c r="E46">
        <v>0</v>
      </c>
      <c r="F46">
        <v>0</v>
      </c>
      <c r="H46" s="76">
        <v>14389</v>
      </c>
      <c r="I46">
        <v>6</v>
      </c>
      <c r="J46">
        <v>13506</v>
      </c>
      <c r="K46" s="4">
        <f t="shared" si="0"/>
        <v>0.93863367850441304</v>
      </c>
    </row>
    <row r="47" spans="1:11" x14ac:dyDescent="0.3">
      <c r="A47" s="1">
        <v>45993</v>
      </c>
      <c r="B47" s="1" t="s">
        <v>12</v>
      </c>
      <c r="C47" s="11"/>
      <c r="D47" s="11"/>
      <c r="E47">
        <v>1</v>
      </c>
      <c r="F47">
        <v>1</v>
      </c>
      <c r="H47" s="87"/>
      <c r="I47" s="11"/>
      <c r="J47" s="11"/>
      <c r="K47" s="4" t="e">
        <f t="shared" si="0"/>
        <v>#N/A</v>
      </c>
    </row>
    <row r="48" spans="1:11" x14ac:dyDescent="0.3">
      <c r="A48" s="1">
        <v>45994</v>
      </c>
      <c r="B48" s="1" t="s">
        <v>10</v>
      </c>
      <c r="C48">
        <v>0</v>
      </c>
      <c r="D48">
        <v>0</v>
      </c>
      <c r="E48">
        <v>0</v>
      </c>
      <c r="F48">
        <v>0</v>
      </c>
      <c r="H48" s="76">
        <v>17309</v>
      </c>
      <c r="I48">
        <v>11</v>
      </c>
      <c r="J48">
        <v>17191</v>
      </c>
      <c r="K48" s="4">
        <f t="shared" si="0"/>
        <v>0.99318273730429252</v>
      </c>
    </row>
    <row r="49" spans="1:11" x14ac:dyDescent="0.3">
      <c r="A49" s="1">
        <v>45994</v>
      </c>
      <c r="B49" s="1" t="s">
        <v>12</v>
      </c>
      <c r="C49" s="11"/>
      <c r="D49" s="11"/>
      <c r="E49">
        <v>0</v>
      </c>
      <c r="F49">
        <v>0</v>
      </c>
      <c r="H49" s="87"/>
      <c r="I49" s="11"/>
      <c r="J49" s="11"/>
      <c r="K49" s="4" t="e">
        <f t="shared" si="0"/>
        <v>#N/A</v>
      </c>
    </row>
    <row r="50" spans="1:11" x14ac:dyDescent="0.3">
      <c r="A50" s="1">
        <v>45995</v>
      </c>
      <c r="B50" s="1" t="s">
        <v>10</v>
      </c>
      <c r="C50">
        <v>0</v>
      </c>
      <c r="D50">
        <v>0</v>
      </c>
      <c r="E50">
        <v>0</v>
      </c>
      <c r="F50">
        <v>0</v>
      </c>
      <c r="H50" s="76">
        <v>37509</v>
      </c>
      <c r="I50">
        <v>19</v>
      </c>
      <c r="J50">
        <v>35836</v>
      </c>
      <c r="K50" s="4">
        <f t="shared" si="0"/>
        <v>0.9553973712975552</v>
      </c>
    </row>
    <row r="51" spans="1:11" x14ac:dyDescent="0.3">
      <c r="A51" s="1">
        <v>45995</v>
      </c>
      <c r="B51" s="1" t="s">
        <v>12</v>
      </c>
      <c r="C51" s="11"/>
      <c r="D51" s="11"/>
      <c r="E51">
        <v>0</v>
      </c>
      <c r="F51">
        <v>0</v>
      </c>
      <c r="H51" s="87"/>
      <c r="I51" s="11"/>
      <c r="J51" s="11"/>
      <c r="K51" s="4" t="e">
        <f t="shared" si="0"/>
        <v>#N/A</v>
      </c>
    </row>
    <row r="52" spans="1:11" x14ac:dyDescent="0.3">
      <c r="A52" s="1">
        <v>45996</v>
      </c>
      <c r="B52" s="1" t="s">
        <v>10</v>
      </c>
      <c r="C52">
        <v>0</v>
      </c>
      <c r="D52">
        <v>0</v>
      </c>
      <c r="E52">
        <v>0</v>
      </c>
      <c r="F52">
        <v>0</v>
      </c>
      <c r="H52" s="76">
        <v>19703</v>
      </c>
      <c r="I52">
        <v>7</v>
      </c>
      <c r="J52">
        <v>19371</v>
      </c>
      <c r="K52" s="4">
        <f t="shared" si="0"/>
        <v>0.98314977414606908</v>
      </c>
    </row>
    <row r="53" spans="1:11" x14ac:dyDescent="0.3">
      <c r="A53" s="1">
        <v>45996</v>
      </c>
      <c r="B53" s="1" t="s">
        <v>12</v>
      </c>
      <c r="C53" s="11"/>
      <c r="D53" s="11"/>
      <c r="E53">
        <v>0</v>
      </c>
      <c r="F53">
        <v>0</v>
      </c>
      <c r="H53" s="87"/>
      <c r="I53" s="11"/>
      <c r="J53" s="11"/>
      <c r="K53" s="4" t="e">
        <f t="shared" si="0"/>
        <v>#N/A</v>
      </c>
    </row>
    <row r="54" spans="1:11" x14ac:dyDescent="0.3">
      <c r="A54" s="1">
        <v>45997</v>
      </c>
      <c r="B54" s="1" t="s">
        <v>10</v>
      </c>
      <c r="C54">
        <v>0</v>
      </c>
      <c r="D54">
        <v>0</v>
      </c>
      <c r="E54">
        <v>0</v>
      </c>
      <c r="F54">
        <v>0</v>
      </c>
      <c r="H54" s="76">
        <v>19789</v>
      </c>
      <c r="I54">
        <v>9</v>
      </c>
      <c r="J54">
        <v>19181</v>
      </c>
      <c r="K54" s="4">
        <f t="shared" si="0"/>
        <v>0.96927586032644397</v>
      </c>
    </row>
    <row r="55" spans="1:11" x14ac:dyDescent="0.3">
      <c r="A55" s="1">
        <v>45997</v>
      </c>
      <c r="B55" s="1" t="s">
        <v>12</v>
      </c>
      <c r="C55" s="11"/>
      <c r="D55" s="11"/>
      <c r="E55">
        <v>0</v>
      </c>
      <c r="F55">
        <v>0</v>
      </c>
      <c r="H55" s="87"/>
      <c r="I55" s="11"/>
      <c r="J55" s="11"/>
      <c r="K55" s="4" t="e">
        <f t="shared" si="0"/>
        <v>#N/A</v>
      </c>
    </row>
    <row r="56" spans="1:11" x14ac:dyDescent="0.3">
      <c r="A56" s="1">
        <v>45998</v>
      </c>
      <c r="B56" s="1" t="s">
        <v>10</v>
      </c>
      <c r="C56">
        <v>0</v>
      </c>
      <c r="D56">
        <v>0</v>
      </c>
      <c r="E56">
        <v>0</v>
      </c>
      <c r="F56">
        <v>0</v>
      </c>
      <c r="H56" s="76">
        <v>1747</v>
      </c>
      <c r="I56">
        <v>2</v>
      </c>
      <c r="J56">
        <v>1747</v>
      </c>
      <c r="K56" s="4">
        <f t="shared" si="0"/>
        <v>1</v>
      </c>
    </row>
    <row r="57" spans="1:11" x14ac:dyDescent="0.3">
      <c r="A57" s="1">
        <v>45998</v>
      </c>
      <c r="B57" s="1" t="s">
        <v>12</v>
      </c>
      <c r="C57" s="11"/>
      <c r="D57" s="11"/>
      <c r="E57">
        <v>0</v>
      </c>
      <c r="F57">
        <v>0</v>
      </c>
      <c r="H57" s="87"/>
      <c r="I57" s="11"/>
      <c r="J57" s="11"/>
      <c r="K57" s="4" t="e">
        <f t="shared" si="0"/>
        <v>#N/A</v>
      </c>
    </row>
    <row r="58" spans="1:11" x14ac:dyDescent="0.3">
      <c r="A58" s="1">
        <v>45999</v>
      </c>
      <c r="B58" s="1" t="s">
        <v>10</v>
      </c>
      <c r="C58">
        <v>0</v>
      </c>
      <c r="D58">
        <v>0</v>
      </c>
      <c r="E58">
        <v>0</v>
      </c>
      <c r="F58">
        <v>0</v>
      </c>
      <c r="H58" s="76">
        <v>796</v>
      </c>
      <c r="I58">
        <v>2</v>
      </c>
      <c r="J58">
        <v>796</v>
      </c>
      <c r="K58" s="4">
        <f t="shared" si="0"/>
        <v>1</v>
      </c>
    </row>
    <row r="59" spans="1:11" x14ac:dyDescent="0.3">
      <c r="A59" s="1">
        <v>45999</v>
      </c>
      <c r="B59" s="1" t="s">
        <v>12</v>
      </c>
      <c r="C59" s="11"/>
      <c r="D59" s="11"/>
      <c r="E59">
        <v>0</v>
      </c>
      <c r="F59">
        <v>0</v>
      </c>
      <c r="H59" s="87"/>
      <c r="I59" s="11"/>
      <c r="J59" s="11"/>
      <c r="K59" s="4" t="e">
        <f t="shared" si="0"/>
        <v>#N/A</v>
      </c>
    </row>
    <row r="60" spans="1:11" x14ac:dyDescent="0.3">
      <c r="A60" s="1">
        <v>46000</v>
      </c>
      <c r="B60" s="1" t="s">
        <v>10</v>
      </c>
      <c r="C60">
        <v>0</v>
      </c>
      <c r="D60">
        <v>0</v>
      </c>
      <c r="E60">
        <v>0</v>
      </c>
      <c r="F60">
        <v>0</v>
      </c>
      <c r="H60" s="76">
        <v>23928</v>
      </c>
      <c r="I60">
        <v>8</v>
      </c>
      <c r="J60">
        <v>23561</v>
      </c>
      <c r="K60" s="4">
        <f t="shared" si="0"/>
        <v>0.98466232029421596</v>
      </c>
    </row>
    <row r="61" spans="1:11" x14ac:dyDescent="0.3">
      <c r="A61" s="1">
        <v>46000</v>
      </c>
      <c r="B61" s="1" t="s">
        <v>12</v>
      </c>
      <c r="C61" s="11"/>
      <c r="D61" s="11"/>
      <c r="E61">
        <v>0</v>
      </c>
      <c r="F61">
        <v>0</v>
      </c>
      <c r="H61" s="87"/>
      <c r="I61" s="11"/>
      <c r="J61" s="11"/>
      <c r="K61" s="4" t="e">
        <f t="shared" si="0"/>
        <v>#N/A</v>
      </c>
    </row>
    <row r="62" spans="1:11" x14ac:dyDescent="0.3">
      <c r="A62" s="1">
        <v>46001</v>
      </c>
      <c r="B62" s="1" t="s">
        <v>10</v>
      </c>
      <c r="C62">
        <v>0</v>
      </c>
      <c r="D62">
        <v>0</v>
      </c>
      <c r="E62">
        <v>0</v>
      </c>
      <c r="F62">
        <v>0</v>
      </c>
      <c r="H62" s="76">
        <v>21587</v>
      </c>
      <c r="I62">
        <v>8</v>
      </c>
      <c r="J62">
        <v>20573</v>
      </c>
      <c r="K62" s="4">
        <f t="shared" si="0"/>
        <v>0.95302728494001021</v>
      </c>
    </row>
    <row r="63" spans="1:11" x14ac:dyDescent="0.3">
      <c r="A63" s="1">
        <v>46001</v>
      </c>
      <c r="B63" s="1" t="s">
        <v>12</v>
      </c>
      <c r="C63" s="11"/>
      <c r="D63" s="11"/>
      <c r="E63">
        <v>0</v>
      </c>
      <c r="F63">
        <v>0</v>
      </c>
      <c r="H63" s="87"/>
      <c r="I63" s="11"/>
      <c r="J63" s="11"/>
      <c r="K63" s="4" t="e">
        <f t="shared" si="0"/>
        <v>#N/A</v>
      </c>
    </row>
    <row r="64" spans="1:11" x14ac:dyDescent="0.3">
      <c r="A64" s="1">
        <v>46002</v>
      </c>
      <c r="B64" s="1" t="s">
        <v>10</v>
      </c>
      <c r="C64">
        <v>0</v>
      </c>
      <c r="D64">
        <v>0</v>
      </c>
      <c r="E64">
        <v>0</v>
      </c>
      <c r="F64">
        <v>0</v>
      </c>
      <c r="H64" s="76">
        <v>30111</v>
      </c>
      <c r="I64">
        <v>15</v>
      </c>
      <c r="J64">
        <v>27505</v>
      </c>
      <c r="K64" s="4">
        <f t="shared" si="0"/>
        <v>0.91345355517917037</v>
      </c>
    </row>
    <row r="65" spans="1:11" x14ac:dyDescent="0.3">
      <c r="A65" s="1">
        <v>46002</v>
      </c>
      <c r="B65" s="1" t="s">
        <v>12</v>
      </c>
      <c r="C65" s="11"/>
      <c r="D65" s="11"/>
      <c r="E65">
        <v>0</v>
      </c>
      <c r="F65">
        <v>0</v>
      </c>
      <c r="H65" s="87"/>
      <c r="I65" s="11"/>
      <c r="J65" s="11"/>
      <c r="K65" s="4" t="e">
        <f t="shared" si="0"/>
        <v>#N/A</v>
      </c>
    </row>
    <row r="66" spans="1:11" x14ac:dyDescent="0.3">
      <c r="A66" s="1">
        <v>46003</v>
      </c>
      <c r="B66" s="1" t="s">
        <v>10</v>
      </c>
      <c r="C66">
        <v>0</v>
      </c>
      <c r="D66">
        <v>0</v>
      </c>
      <c r="E66">
        <v>0</v>
      </c>
      <c r="F66">
        <v>0</v>
      </c>
      <c r="H66" s="76">
        <v>28971</v>
      </c>
      <c r="I66">
        <v>9</v>
      </c>
      <c r="J66">
        <v>28860</v>
      </c>
      <c r="K66" s="4">
        <f>IFERROR(J66/H66, NA())</f>
        <v>0.99616858237547889</v>
      </c>
    </row>
    <row r="67" spans="1:11" x14ac:dyDescent="0.3">
      <c r="A67" s="1">
        <v>46003</v>
      </c>
      <c r="B67" s="1" t="s">
        <v>12</v>
      </c>
      <c r="C67" s="11"/>
      <c r="D67" s="11"/>
      <c r="E67">
        <v>0</v>
      </c>
      <c r="F67">
        <v>0</v>
      </c>
      <c r="H67" s="87"/>
      <c r="I67" s="11"/>
      <c r="J67" s="11"/>
      <c r="K67" s="4" t="e">
        <f t="shared" ref="K67:K93" si="3">IFERROR(J67/H67, NA())</f>
        <v>#N/A</v>
      </c>
    </row>
    <row r="68" spans="1:11" x14ac:dyDescent="0.3">
      <c r="A68" s="1">
        <v>46006</v>
      </c>
      <c r="B68" s="1" t="s">
        <v>10</v>
      </c>
      <c r="C68">
        <v>10</v>
      </c>
      <c r="D68">
        <v>11</v>
      </c>
      <c r="E68">
        <v>3</v>
      </c>
      <c r="F68">
        <v>3</v>
      </c>
      <c r="H68" s="76">
        <v>8366</v>
      </c>
      <c r="I68">
        <v>7</v>
      </c>
      <c r="J68">
        <v>8366</v>
      </c>
      <c r="K68" s="4">
        <f t="shared" si="3"/>
        <v>1</v>
      </c>
    </row>
    <row r="69" spans="1:11" x14ac:dyDescent="0.3">
      <c r="A69" s="1">
        <v>46006</v>
      </c>
      <c r="B69" s="1" t="s">
        <v>12</v>
      </c>
      <c r="C69" s="11"/>
      <c r="D69" s="11"/>
      <c r="E69">
        <v>9</v>
      </c>
      <c r="F69">
        <v>9</v>
      </c>
      <c r="H69" s="87"/>
      <c r="I69" s="11"/>
      <c r="J69" s="11"/>
      <c r="K69" s="4" t="e">
        <f t="shared" si="3"/>
        <v>#N/A</v>
      </c>
    </row>
    <row r="70" spans="1:11" x14ac:dyDescent="0.3">
      <c r="A70" s="1">
        <v>46007</v>
      </c>
      <c r="B70" s="1" t="s">
        <v>10</v>
      </c>
      <c r="C70">
        <v>5</v>
      </c>
      <c r="D70">
        <v>5</v>
      </c>
      <c r="E70">
        <v>2</v>
      </c>
      <c r="F70">
        <v>2</v>
      </c>
      <c r="H70" s="76">
        <v>15066</v>
      </c>
      <c r="I70">
        <v>5</v>
      </c>
      <c r="J70">
        <v>13882</v>
      </c>
      <c r="K70" s="4">
        <f t="shared" si="3"/>
        <v>0.92141245187840171</v>
      </c>
    </row>
    <row r="71" spans="1:11" x14ac:dyDescent="0.3">
      <c r="A71" s="1">
        <v>46007</v>
      </c>
      <c r="B71" s="1" t="s">
        <v>12</v>
      </c>
      <c r="C71" s="11"/>
      <c r="D71" s="11"/>
      <c r="E71">
        <v>11</v>
      </c>
      <c r="F71">
        <v>11</v>
      </c>
      <c r="H71" s="87"/>
      <c r="I71" s="11"/>
      <c r="J71" s="11"/>
      <c r="K71" s="4" t="e">
        <f t="shared" si="3"/>
        <v>#N/A</v>
      </c>
    </row>
    <row r="72" spans="1:11" x14ac:dyDescent="0.3">
      <c r="A72" s="1">
        <v>46008</v>
      </c>
      <c r="B72" s="1" t="s">
        <v>10</v>
      </c>
      <c r="C72">
        <v>3</v>
      </c>
      <c r="D72">
        <v>3</v>
      </c>
      <c r="E72">
        <v>2</v>
      </c>
      <c r="F72">
        <v>2</v>
      </c>
      <c r="H72" s="76">
        <v>34881</v>
      </c>
      <c r="I72">
        <v>15</v>
      </c>
      <c r="J72">
        <v>34311</v>
      </c>
      <c r="K72" s="4">
        <f t="shared" si="3"/>
        <v>0.98365872538057963</v>
      </c>
    </row>
    <row r="73" spans="1:11" x14ac:dyDescent="0.3">
      <c r="A73" s="1">
        <v>46008</v>
      </c>
      <c r="B73" s="1" t="s">
        <v>12</v>
      </c>
      <c r="C73" s="11"/>
      <c r="D73" s="11"/>
      <c r="E73">
        <v>8</v>
      </c>
      <c r="F73">
        <v>8</v>
      </c>
      <c r="H73" s="87"/>
      <c r="I73" s="11"/>
      <c r="J73" s="11"/>
      <c r="K73" s="4" t="e">
        <f t="shared" si="3"/>
        <v>#N/A</v>
      </c>
    </row>
    <row r="74" spans="1:11" x14ac:dyDescent="0.3">
      <c r="A74" s="1">
        <v>46009</v>
      </c>
      <c r="B74" s="1" t="s">
        <v>10</v>
      </c>
      <c r="C74">
        <v>10</v>
      </c>
      <c r="D74">
        <v>10</v>
      </c>
      <c r="E74">
        <v>2</v>
      </c>
      <c r="F74">
        <v>2</v>
      </c>
      <c r="H74" s="76">
        <v>34945</v>
      </c>
      <c r="I74">
        <v>11</v>
      </c>
      <c r="J74">
        <v>34681</v>
      </c>
      <c r="K74" s="4">
        <f t="shared" si="3"/>
        <v>0.99244527114036341</v>
      </c>
    </row>
    <row r="75" spans="1:11" x14ac:dyDescent="0.3">
      <c r="A75" s="1">
        <v>46009</v>
      </c>
      <c r="B75" s="1" t="s">
        <v>12</v>
      </c>
      <c r="C75" s="11"/>
      <c r="D75" s="11"/>
      <c r="E75">
        <v>8</v>
      </c>
      <c r="F75">
        <v>8</v>
      </c>
      <c r="H75" s="87"/>
      <c r="I75" s="11"/>
      <c r="J75" s="11"/>
      <c r="K75" s="4" t="e">
        <f t="shared" si="3"/>
        <v>#N/A</v>
      </c>
    </row>
    <row r="76" spans="1:11" x14ac:dyDescent="0.3">
      <c r="A76" s="1">
        <v>46010</v>
      </c>
      <c r="B76" s="1" t="s">
        <v>10</v>
      </c>
      <c r="C76">
        <v>12</v>
      </c>
      <c r="D76">
        <v>12</v>
      </c>
      <c r="H76" s="76">
        <v>28672</v>
      </c>
      <c r="I76">
        <v>13</v>
      </c>
      <c r="J76">
        <v>25283</v>
      </c>
      <c r="K76" s="4">
        <f t="shared" si="3"/>
        <v>0.8818010602678571</v>
      </c>
    </row>
    <row r="77" spans="1:11" x14ac:dyDescent="0.3">
      <c r="A77" t="s">
        <v>217</v>
      </c>
      <c r="B77" s="1" t="s">
        <v>12</v>
      </c>
      <c r="C77" s="11">
        <v>2</v>
      </c>
      <c r="D77" s="11">
        <v>2</v>
      </c>
      <c r="E77">
        <v>13</v>
      </c>
      <c r="F77">
        <v>13</v>
      </c>
      <c r="H77" s="87"/>
      <c r="I77" s="11"/>
      <c r="J77" s="11"/>
      <c r="K77" s="4" t="e">
        <f t="shared" si="3"/>
        <v>#N/A</v>
      </c>
    </row>
    <row r="78" spans="1:11" x14ac:dyDescent="0.3">
      <c r="A78" s="1">
        <v>46011</v>
      </c>
      <c r="B78" s="1" t="s">
        <v>10</v>
      </c>
      <c r="H78" s="76">
        <v>1133</v>
      </c>
      <c r="I78">
        <v>1</v>
      </c>
      <c r="J78">
        <v>1133</v>
      </c>
      <c r="K78" s="4">
        <f t="shared" si="3"/>
        <v>1</v>
      </c>
    </row>
    <row r="79" spans="1:11" x14ac:dyDescent="0.3">
      <c r="A79" s="1">
        <v>46011</v>
      </c>
      <c r="B79" s="1" t="s">
        <v>12</v>
      </c>
      <c r="C79" s="11"/>
      <c r="D79" s="11"/>
      <c r="E79">
        <v>5</v>
      </c>
      <c r="F79">
        <v>5</v>
      </c>
      <c r="H79" s="87"/>
      <c r="I79" s="11"/>
      <c r="J79" s="11"/>
      <c r="K79" s="4" t="e">
        <f t="shared" si="3"/>
        <v>#N/A</v>
      </c>
    </row>
    <row r="80" spans="1:11" x14ac:dyDescent="0.3">
      <c r="A80" s="1">
        <v>46012</v>
      </c>
      <c r="B80" s="1" t="s">
        <v>10</v>
      </c>
      <c r="H80" s="76">
        <v>1051</v>
      </c>
      <c r="I80">
        <v>1</v>
      </c>
      <c r="J80">
        <v>1051</v>
      </c>
      <c r="K80" s="4">
        <f t="shared" si="3"/>
        <v>1</v>
      </c>
    </row>
    <row r="81" spans="1:11" x14ac:dyDescent="0.3">
      <c r="A81" s="1">
        <v>46012</v>
      </c>
      <c r="B81" s="1" t="s">
        <v>12</v>
      </c>
      <c r="C81" s="11"/>
      <c r="D81" s="11"/>
      <c r="H81" s="87"/>
      <c r="I81" s="11"/>
      <c r="J81" s="11"/>
      <c r="K81" s="4" t="e">
        <f t="shared" si="3"/>
        <v>#N/A</v>
      </c>
    </row>
    <row r="82" spans="1:11" x14ac:dyDescent="0.3">
      <c r="A82" s="1">
        <v>46013</v>
      </c>
      <c r="B82" s="1" t="s">
        <v>10</v>
      </c>
      <c r="C82">
        <v>9</v>
      </c>
      <c r="D82">
        <v>9</v>
      </c>
      <c r="H82" s="76">
        <v>17792</v>
      </c>
      <c r="I82">
        <v>10</v>
      </c>
      <c r="J82">
        <v>17792</v>
      </c>
      <c r="K82" s="4">
        <f t="shared" si="3"/>
        <v>1</v>
      </c>
    </row>
    <row r="83" spans="1:11" x14ac:dyDescent="0.3">
      <c r="A83" s="1">
        <v>46013</v>
      </c>
      <c r="B83" s="1" t="s">
        <v>12</v>
      </c>
      <c r="C83" s="11">
        <v>3</v>
      </c>
      <c r="D83" s="11">
        <v>3</v>
      </c>
      <c r="E83">
        <v>11</v>
      </c>
      <c r="F83">
        <v>11</v>
      </c>
      <c r="H83" s="87"/>
      <c r="I83" s="11"/>
      <c r="J83" s="11"/>
      <c r="K83" s="4" t="e">
        <f t="shared" si="3"/>
        <v>#N/A</v>
      </c>
    </row>
    <row r="84" spans="1:11" x14ac:dyDescent="0.3">
      <c r="A84" s="1">
        <v>46014</v>
      </c>
      <c r="B84" s="1" t="s">
        <v>10</v>
      </c>
      <c r="C84">
        <v>6</v>
      </c>
      <c r="D84">
        <v>6</v>
      </c>
      <c r="H84" s="76">
        <v>31390</v>
      </c>
      <c r="I84">
        <v>13</v>
      </c>
      <c r="J84">
        <v>31390</v>
      </c>
      <c r="K84" s="4">
        <f t="shared" si="3"/>
        <v>1</v>
      </c>
    </row>
    <row r="85" spans="1:11" x14ac:dyDescent="0.3">
      <c r="A85" s="1">
        <v>46014</v>
      </c>
      <c r="B85" s="1" t="s">
        <v>12</v>
      </c>
      <c r="C85" s="11">
        <v>6</v>
      </c>
      <c r="D85" s="11">
        <v>6</v>
      </c>
      <c r="E85">
        <v>7</v>
      </c>
      <c r="F85">
        <v>7</v>
      </c>
      <c r="H85" s="87"/>
      <c r="I85" s="11"/>
      <c r="J85" s="11"/>
      <c r="K85" s="4" t="e">
        <f t="shared" si="3"/>
        <v>#N/A</v>
      </c>
    </row>
    <row r="86" spans="1:11" x14ac:dyDescent="0.3">
      <c r="A86" s="1">
        <v>46015</v>
      </c>
      <c r="B86" s="1" t="s">
        <v>10</v>
      </c>
      <c r="C86">
        <v>4</v>
      </c>
      <c r="D86">
        <v>4</v>
      </c>
      <c r="H86" s="76">
        <v>24271</v>
      </c>
      <c r="I86">
        <v>8</v>
      </c>
      <c r="J86">
        <v>24175</v>
      </c>
      <c r="K86" s="4">
        <f t="shared" si="3"/>
        <v>0.99604466235424993</v>
      </c>
    </row>
    <row r="87" spans="1:11" x14ac:dyDescent="0.3">
      <c r="A87" s="1">
        <v>46015</v>
      </c>
      <c r="B87" s="1" t="s">
        <v>12</v>
      </c>
      <c r="C87" s="11">
        <v>2</v>
      </c>
      <c r="D87" s="11">
        <v>2</v>
      </c>
      <c r="E87">
        <v>8</v>
      </c>
      <c r="F87">
        <v>8</v>
      </c>
      <c r="H87" s="87"/>
      <c r="I87" s="11"/>
      <c r="J87" s="11"/>
      <c r="K87" s="4" t="e">
        <f t="shared" si="3"/>
        <v>#N/A</v>
      </c>
    </row>
    <row r="88" spans="1:11" x14ac:dyDescent="0.3">
      <c r="A88" s="1">
        <v>46017</v>
      </c>
      <c r="B88" s="1" t="s">
        <v>10</v>
      </c>
      <c r="H88" s="76">
        <v>29436</v>
      </c>
      <c r="I88">
        <v>11</v>
      </c>
      <c r="J88">
        <v>27772</v>
      </c>
      <c r="K88" s="4">
        <f t="shared" si="3"/>
        <v>0.94347058024188069</v>
      </c>
    </row>
    <row r="89" spans="1:11" x14ac:dyDescent="0.3">
      <c r="A89" s="1">
        <v>46017</v>
      </c>
      <c r="B89" s="1" t="s">
        <v>12</v>
      </c>
      <c r="C89" s="11"/>
      <c r="D89" s="11"/>
      <c r="H89" s="87"/>
      <c r="I89" s="11"/>
      <c r="J89" s="11"/>
      <c r="K89" s="4" t="e">
        <f t="shared" si="3"/>
        <v>#N/A</v>
      </c>
    </row>
    <row r="90" spans="1:11" x14ac:dyDescent="0.3">
      <c r="A90" s="1">
        <v>46018</v>
      </c>
      <c r="B90" s="1" t="s">
        <v>10</v>
      </c>
      <c r="H90" s="76">
        <v>12642</v>
      </c>
      <c r="I90">
        <v>4</v>
      </c>
      <c r="J90">
        <v>10526</v>
      </c>
      <c r="K90" s="4">
        <f t="shared" si="3"/>
        <v>0.83262142066128775</v>
      </c>
    </row>
    <row r="91" spans="1:11" x14ac:dyDescent="0.3">
      <c r="A91" s="1">
        <v>46018</v>
      </c>
      <c r="B91" s="1" t="s">
        <v>12</v>
      </c>
      <c r="C91" s="11"/>
      <c r="D91" s="11"/>
      <c r="H91" s="87"/>
      <c r="I91" s="11"/>
      <c r="J91" s="11"/>
      <c r="K91" s="4" t="e">
        <f t="shared" si="3"/>
        <v>#N/A</v>
      </c>
    </row>
    <row r="92" spans="1:11" x14ac:dyDescent="0.3">
      <c r="A92" s="1">
        <v>46019</v>
      </c>
      <c r="B92" s="1" t="s">
        <v>10</v>
      </c>
      <c r="H92" s="76">
        <v>1123</v>
      </c>
      <c r="I92">
        <v>1</v>
      </c>
      <c r="J92">
        <v>841</v>
      </c>
      <c r="K92" s="4">
        <f t="shared" si="3"/>
        <v>0.74888691006233299</v>
      </c>
    </row>
    <row r="93" spans="1:11" x14ac:dyDescent="0.3">
      <c r="A93" s="1">
        <v>46019</v>
      </c>
      <c r="B93" s="1" t="s">
        <v>12</v>
      </c>
      <c r="C93" s="11"/>
      <c r="D93" s="11"/>
      <c r="E93">
        <v>10</v>
      </c>
      <c r="F93">
        <v>10</v>
      </c>
      <c r="H93" s="87"/>
      <c r="I93" s="11"/>
      <c r="J93" s="11"/>
      <c r="K93" s="4" t="e">
        <f t="shared" si="3"/>
        <v>#N/A</v>
      </c>
    </row>
    <row r="94" spans="1:11" x14ac:dyDescent="0.3">
      <c r="A94" s="39" t="s">
        <v>218</v>
      </c>
      <c r="B94" s="1" t="s">
        <v>10</v>
      </c>
      <c r="C94">
        <v>12</v>
      </c>
      <c r="D94">
        <v>12</v>
      </c>
      <c r="H94" s="76">
        <v>26050</v>
      </c>
      <c r="I94">
        <v>13</v>
      </c>
      <c r="J94">
        <v>24825</v>
      </c>
      <c r="K94" s="4">
        <f t="shared" ref="K94:K120" si="4">IFERROR(J94/H94, NA())</f>
        <v>0.95297504798464494</v>
      </c>
    </row>
    <row r="95" spans="1:11" x14ac:dyDescent="0.3">
      <c r="A95" s="39" t="s">
        <v>218</v>
      </c>
      <c r="B95" s="1" t="s">
        <v>12</v>
      </c>
      <c r="C95" s="11">
        <v>5</v>
      </c>
      <c r="D95" s="11">
        <v>5</v>
      </c>
      <c r="E95">
        <v>12</v>
      </c>
      <c r="F95">
        <v>12</v>
      </c>
      <c r="H95" s="87"/>
      <c r="I95" s="11"/>
      <c r="J95" s="11"/>
      <c r="K95" s="4" t="e">
        <f t="shared" si="4"/>
        <v>#N/A</v>
      </c>
    </row>
    <row r="96" spans="1:11" x14ac:dyDescent="0.3">
      <c r="A96" s="39" t="s">
        <v>219</v>
      </c>
      <c r="B96" s="1" t="s">
        <v>10</v>
      </c>
      <c r="C96">
        <v>10</v>
      </c>
      <c r="D96">
        <v>10</v>
      </c>
      <c r="H96" s="76">
        <v>25428</v>
      </c>
      <c r="I96">
        <v>11</v>
      </c>
      <c r="J96">
        <v>25048</v>
      </c>
      <c r="K96" s="4">
        <f t="shared" si="4"/>
        <v>0.98505584395154944</v>
      </c>
    </row>
    <row r="97" spans="1:11" x14ac:dyDescent="0.3">
      <c r="A97" s="39" t="s">
        <v>219</v>
      </c>
      <c r="B97" s="1" t="s">
        <v>12</v>
      </c>
      <c r="C97" s="11">
        <v>2</v>
      </c>
      <c r="D97" s="11">
        <v>2</v>
      </c>
      <c r="E97">
        <v>12</v>
      </c>
      <c r="F97">
        <v>12</v>
      </c>
      <c r="H97" s="87"/>
      <c r="I97" s="11"/>
      <c r="J97" s="11"/>
      <c r="K97" s="4" t="e">
        <f t="shared" si="4"/>
        <v>#N/A</v>
      </c>
    </row>
    <row r="98" spans="1:11" x14ac:dyDescent="0.3">
      <c r="A98" s="39" t="s">
        <v>220</v>
      </c>
      <c r="B98" s="1" t="s">
        <v>10</v>
      </c>
      <c r="C98">
        <v>7</v>
      </c>
      <c r="D98">
        <v>7</v>
      </c>
      <c r="H98" s="76">
        <v>8943</v>
      </c>
      <c r="I98">
        <v>4</v>
      </c>
      <c r="J98">
        <v>8859</v>
      </c>
      <c r="K98" s="4">
        <f t="shared" si="4"/>
        <v>0.99060717879906068</v>
      </c>
    </row>
    <row r="99" spans="1:11" x14ac:dyDescent="0.3">
      <c r="A99" s="39" t="s">
        <v>220</v>
      </c>
      <c r="B99" s="1" t="s">
        <v>12</v>
      </c>
      <c r="C99" s="11">
        <v>1</v>
      </c>
      <c r="D99" s="11">
        <v>1</v>
      </c>
      <c r="E99">
        <v>8</v>
      </c>
      <c r="F99">
        <v>8</v>
      </c>
      <c r="H99" s="87"/>
      <c r="I99" s="11"/>
      <c r="J99" s="11"/>
      <c r="K99" s="4" t="e">
        <f t="shared" si="4"/>
        <v>#N/A</v>
      </c>
    </row>
    <row r="100" spans="1:11" x14ac:dyDescent="0.3">
      <c r="A100" s="39" t="s">
        <v>221</v>
      </c>
      <c r="B100" s="1" t="s">
        <v>10</v>
      </c>
      <c r="C100">
        <v>5</v>
      </c>
      <c r="D100">
        <v>5</v>
      </c>
      <c r="H100" s="76">
        <v>35459</v>
      </c>
      <c r="I100">
        <v>11</v>
      </c>
      <c r="J100">
        <v>32671</v>
      </c>
      <c r="K100" s="4">
        <f t="shared" si="4"/>
        <v>0.92137398121774439</v>
      </c>
    </row>
    <row r="101" spans="1:11" x14ac:dyDescent="0.3">
      <c r="A101" s="39" t="s">
        <v>221</v>
      </c>
      <c r="B101" s="1" t="s">
        <v>12</v>
      </c>
      <c r="C101" s="11">
        <v>4</v>
      </c>
      <c r="D101" s="11">
        <v>4</v>
      </c>
      <c r="E101">
        <v>6</v>
      </c>
      <c r="F101">
        <v>6</v>
      </c>
      <c r="H101" s="87"/>
      <c r="I101" s="11"/>
      <c r="J101" s="11"/>
      <c r="K101" s="4" t="e">
        <f t="shared" si="4"/>
        <v>#N/A</v>
      </c>
    </row>
    <row r="102" spans="1:11" x14ac:dyDescent="0.3">
      <c r="A102" s="39" t="s">
        <v>222</v>
      </c>
      <c r="B102" s="1" t="s">
        <v>10</v>
      </c>
      <c r="H102" s="76">
        <v>6687</v>
      </c>
      <c r="I102">
        <v>3</v>
      </c>
      <c r="J102">
        <v>4988</v>
      </c>
      <c r="K102" s="4">
        <f t="shared" si="4"/>
        <v>0.74592492896665175</v>
      </c>
    </row>
    <row r="103" spans="1:11" x14ac:dyDescent="0.3">
      <c r="A103" s="39" t="s">
        <v>222</v>
      </c>
      <c r="B103" s="1" t="s">
        <v>12</v>
      </c>
      <c r="C103" s="11"/>
      <c r="D103" s="11"/>
      <c r="H103" s="87"/>
      <c r="I103" s="11"/>
      <c r="J103" s="11"/>
      <c r="K103" s="4" t="e">
        <f t="shared" si="4"/>
        <v>#N/A</v>
      </c>
    </row>
    <row r="104" spans="1:11" x14ac:dyDescent="0.3">
      <c r="A104" s="39" t="s">
        <v>223</v>
      </c>
      <c r="B104" s="1" t="s">
        <v>10</v>
      </c>
      <c r="H104" s="76">
        <v>1024</v>
      </c>
      <c r="I104">
        <v>1</v>
      </c>
      <c r="J104">
        <v>1024</v>
      </c>
      <c r="K104" s="4">
        <f t="shared" si="4"/>
        <v>1</v>
      </c>
    </row>
    <row r="105" spans="1:11" x14ac:dyDescent="0.3">
      <c r="A105" s="39" t="s">
        <v>223</v>
      </c>
      <c r="B105" s="1" t="s">
        <v>12</v>
      </c>
      <c r="C105" s="11"/>
      <c r="D105" s="11"/>
      <c r="H105" s="87"/>
      <c r="I105" s="11"/>
      <c r="J105" s="11"/>
      <c r="K105" s="4" t="e">
        <f t="shared" si="4"/>
        <v>#N/A</v>
      </c>
    </row>
    <row r="106" spans="1:11" x14ac:dyDescent="0.3">
      <c r="A106" s="39" t="s">
        <v>224</v>
      </c>
      <c r="B106" s="1" t="s">
        <v>10</v>
      </c>
      <c r="C106">
        <v>6</v>
      </c>
      <c r="D106">
        <v>6</v>
      </c>
      <c r="H106" s="76">
        <v>11221</v>
      </c>
      <c r="I106">
        <v>6</v>
      </c>
      <c r="J106">
        <v>11123</v>
      </c>
      <c r="K106" s="4">
        <f t="shared" si="4"/>
        <v>0.99126637554585151</v>
      </c>
    </row>
    <row r="107" spans="1:11" x14ac:dyDescent="0.3">
      <c r="A107" s="39" t="s">
        <v>224</v>
      </c>
      <c r="B107" s="1" t="s">
        <v>12</v>
      </c>
      <c r="C107" s="11">
        <v>5</v>
      </c>
      <c r="D107" s="11">
        <v>5</v>
      </c>
      <c r="E107">
        <v>9</v>
      </c>
      <c r="F107">
        <v>9</v>
      </c>
      <c r="H107" s="87"/>
      <c r="I107" s="11"/>
      <c r="J107" s="11"/>
      <c r="K107" s="4" t="e">
        <f t="shared" si="4"/>
        <v>#N/A</v>
      </c>
    </row>
    <row r="108" spans="1:11" x14ac:dyDescent="0.3">
      <c r="A108" s="39" t="s">
        <v>225</v>
      </c>
      <c r="B108" s="1" t="s">
        <v>10</v>
      </c>
      <c r="C108">
        <v>4</v>
      </c>
      <c r="D108">
        <v>4</v>
      </c>
      <c r="H108" s="76">
        <v>27699</v>
      </c>
      <c r="I108">
        <v>8</v>
      </c>
      <c r="J108">
        <v>25506</v>
      </c>
      <c r="K108" s="4">
        <f t="shared" si="4"/>
        <v>0.9208274666955486</v>
      </c>
    </row>
    <row r="109" spans="1:11" x14ac:dyDescent="0.3">
      <c r="A109" s="39" t="s">
        <v>225</v>
      </c>
      <c r="B109" s="1" t="s">
        <v>12</v>
      </c>
      <c r="C109" s="11">
        <v>1</v>
      </c>
      <c r="D109" s="11">
        <v>1</v>
      </c>
      <c r="E109">
        <v>9</v>
      </c>
      <c r="F109">
        <v>9</v>
      </c>
      <c r="H109" s="87"/>
      <c r="I109" s="11"/>
      <c r="J109" s="11"/>
      <c r="K109" s="4" t="e">
        <f t="shared" si="4"/>
        <v>#N/A</v>
      </c>
    </row>
    <row r="110" spans="1:11" x14ac:dyDescent="0.3">
      <c r="A110" s="39" t="s">
        <v>226</v>
      </c>
      <c r="B110" s="1" t="s">
        <v>10</v>
      </c>
      <c r="C110">
        <v>10</v>
      </c>
      <c r="D110">
        <v>10</v>
      </c>
      <c r="H110" s="76">
        <v>22648</v>
      </c>
      <c r="I110">
        <v>11</v>
      </c>
      <c r="J110">
        <v>22399</v>
      </c>
      <c r="K110" s="4">
        <f t="shared" si="4"/>
        <v>0.98900565171317556</v>
      </c>
    </row>
    <row r="111" spans="1:11" x14ac:dyDescent="0.3">
      <c r="A111" s="39" t="s">
        <v>226</v>
      </c>
      <c r="B111" s="1" t="s">
        <v>12</v>
      </c>
      <c r="C111" s="11">
        <v>3</v>
      </c>
      <c r="D111" s="11">
        <v>3</v>
      </c>
      <c r="E111">
        <v>7</v>
      </c>
      <c r="F111">
        <v>7</v>
      </c>
      <c r="H111" s="87"/>
      <c r="I111" s="11"/>
      <c r="J111" s="11"/>
      <c r="K111" s="4" t="e">
        <f t="shared" si="4"/>
        <v>#N/A</v>
      </c>
    </row>
    <row r="112" spans="1:11" x14ac:dyDescent="0.3">
      <c r="A112" s="39" t="s">
        <v>227</v>
      </c>
      <c r="B112" s="1" t="s">
        <v>10</v>
      </c>
      <c r="C112">
        <v>5</v>
      </c>
      <c r="D112">
        <v>5</v>
      </c>
      <c r="H112" s="76">
        <v>29311</v>
      </c>
      <c r="I112">
        <v>10</v>
      </c>
      <c r="J112">
        <v>29161</v>
      </c>
      <c r="K112" s="4">
        <f t="shared" si="4"/>
        <v>0.99488246733308316</v>
      </c>
    </row>
    <row r="113" spans="1:11" x14ac:dyDescent="0.3">
      <c r="A113" s="39" t="s">
        <v>227</v>
      </c>
      <c r="B113" s="1" t="s">
        <v>12</v>
      </c>
      <c r="C113" s="11">
        <v>3</v>
      </c>
      <c r="D113" s="11">
        <v>3</v>
      </c>
      <c r="E113">
        <v>7</v>
      </c>
      <c r="F113">
        <v>7</v>
      </c>
      <c r="H113" s="87"/>
      <c r="I113" s="11"/>
      <c r="J113" s="11"/>
      <c r="K113" s="4" t="e">
        <f t="shared" si="4"/>
        <v>#N/A</v>
      </c>
    </row>
    <row r="114" spans="1:11" x14ac:dyDescent="0.3">
      <c r="A114" s="39" t="s">
        <v>228</v>
      </c>
      <c r="B114" s="1" t="s">
        <v>10</v>
      </c>
      <c r="C114">
        <v>7</v>
      </c>
      <c r="D114">
        <v>7</v>
      </c>
      <c r="H114" s="76">
        <v>36970</v>
      </c>
      <c r="I114">
        <v>12</v>
      </c>
      <c r="J114">
        <v>35287</v>
      </c>
      <c r="K114" s="4">
        <f t="shared" si="4"/>
        <v>0.95447660265079792</v>
      </c>
    </row>
    <row r="115" spans="1:11" x14ac:dyDescent="0.3">
      <c r="A115" s="39" t="s">
        <v>228</v>
      </c>
      <c r="B115" s="1" t="s">
        <v>12</v>
      </c>
      <c r="C115" s="11">
        <v>2</v>
      </c>
      <c r="D115" s="11">
        <v>2</v>
      </c>
      <c r="E115">
        <v>10</v>
      </c>
      <c r="F115">
        <v>10</v>
      </c>
      <c r="H115" s="87"/>
      <c r="I115" s="11"/>
      <c r="J115" s="11"/>
      <c r="K115" s="4" t="e">
        <f t="shared" si="4"/>
        <v>#N/A</v>
      </c>
    </row>
    <row r="116" spans="1:11" x14ac:dyDescent="0.3">
      <c r="A116" s="39" t="s">
        <v>229</v>
      </c>
      <c r="B116" s="1" t="s">
        <v>10</v>
      </c>
      <c r="H116" s="76">
        <v>18398</v>
      </c>
      <c r="I116">
        <v>1</v>
      </c>
      <c r="J116">
        <v>18398</v>
      </c>
      <c r="K116" s="4">
        <f t="shared" si="4"/>
        <v>1</v>
      </c>
    </row>
    <row r="117" spans="1:11" x14ac:dyDescent="0.3">
      <c r="A117" s="39" t="s">
        <v>229</v>
      </c>
      <c r="B117" s="1" t="s">
        <v>12</v>
      </c>
      <c r="C117" s="11"/>
      <c r="D117" s="11"/>
      <c r="H117" s="87"/>
      <c r="I117" s="11"/>
      <c r="J117" s="11"/>
      <c r="K117" s="4" t="e">
        <f t="shared" si="4"/>
        <v>#N/A</v>
      </c>
    </row>
    <row r="118" spans="1:11" x14ac:dyDescent="0.3">
      <c r="A118" s="39" t="s">
        <v>230</v>
      </c>
      <c r="B118" s="1" t="s">
        <v>10</v>
      </c>
      <c r="H118" s="76">
        <v>11620</v>
      </c>
      <c r="I118">
        <v>1</v>
      </c>
      <c r="J118">
        <v>11620</v>
      </c>
      <c r="K118" s="4">
        <f t="shared" si="4"/>
        <v>1</v>
      </c>
    </row>
    <row r="119" spans="1:11" x14ac:dyDescent="0.3">
      <c r="A119" s="39" t="s">
        <v>230</v>
      </c>
      <c r="B119" s="1" t="s">
        <v>12</v>
      </c>
      <c r="C119" s="11"/>
      <c r="D119" s="11"/>
      <c r="H119" s="87"/>
      <c r="I119" s="11"/>
      <c r="J119" s="11"/>
      <c r="K119" s="4" t="e">
        <f t="shared" si="4"/>
        <v>#N/A</v>
      </c>
    </row>
    <row r="120" spans="1:11" x14ac:dyDescent="0.3">
      <c r="A120" s="39" t="s">
        <v>231</v>
      </c>
      <c r="B120" s="1" t="s">
        <v>10</v>
      </c>
      <c r="C120">
        <v>11</v>
      </c>
      <c r="D120">
        <v>11</v>
      </c>
      <c r="H120" s="76">
        <v>13566</v>
      </c>
      <c r="I120">
        <v>9</v>
      </c>
      <c r="J120">
        <v>13566</v>
      </c>
      <c r="K120" s="4">
        <f t="shared" si="4"/>
        <v>1</v>
      </c>
    </row>
    <row r="121" spans="1:11" x14ac:dyDescent="0.3">
      <c r="A121" s="39" t="s">
        <v>231</v>
      </c>
      <c r="B121" s="1" t="s">
        <v>12</v>
      </c>
      <c r="C121" s="11">
        <v>5</v>
      </c>
      <c r="D121" s="11">
        <v>5</v>
      </c>
      <c r="E121">
        <v>9</v>
      </c>
      <c r="F121">
        <v>9</v>
      </c>
      <c r="H121" s="87"/>
      <c r="I121" s="11"/>
      <c r="J121" s="11"/>
      <c r="K121" s="4" t="e">
        <f t="shared" ref="K121:K161" si="5">IFERROR(J121/H121, NA())</f>
        <v>#N/A</v>
      </c>
    </row>
    <row r="122" spans="1:11" x14ac:dyDescent="0.3">
      <c r="A122" s="39" t="s">
        <v>232</v>
      </c>
      <c r="B122" s="1" t="s">
        <v>10</v>
      </c>
      <c r="C122">
        <v>8</v>
      </c>
      <c r="D122">
        <v>8</v>
      </c>
      <c r="H122" s="76">
        <v>19063</v>
      </c>
      <c r="I122">
        <v>7</v>
      </c>
      <c r="J122">
        <v>18907</v>
      </c>
      <c r="K122" s="4">
        <f t="shared" si="5"/>
        <v>0.99181660808896821</v>
      </c>
    </row>
    <row r="123" spans="1:11" x14ac:dyDescent="0.3">
      <c r="A123" s="39" t="s">
        <v>232</v>
      </c>
      <c r="B123" s="1" t="s">
        <v>12</v>
      </c>
      <c r="C123" s="11">
        <v>1</v>
      </c>
      <c r="D123" s="11">
        <v>1</v>
      </c>
      <c r="E123">
        <v>10</v>
      </c>
      <c r="F123">
        <v>10</v>
      </c>
      <c r="H123" s="87"/>
      <c r="I123" s="11"/>
      <c r="J123" s="11"/>
      <c r="K123" s="4" t="e">
        <f t="shared" si="5"/>
        <v>#N/A</v>
      </c>
    </row>
    <row r="124" spans="1:11" x14ac:dyDescent="0.3">
      <c r="A124" s="39" t="s">
        <v>233</v>
      </c>
      <c r="B124" s="1" t="s">
        <v>10</v>
      </c>
      <c r="C124">
        <v>9</v>
      </c>
      <c r="D124">
        <v>9</v>
      </c>
      <c r="H124" s="76">
        <v>29603</v>
      </c>
      <c r="I124">
        <v>15</v>
      </c>
      <c r="J124">
        <v>29429</v>
      </c>
      <c r="K124" s="4">
        <f t="shared" si="5"/>
        <v>0.9941222173428369</v>
      </c>
    </row>
    <row r="125" spans="1:11" x14ac:dyDescent="0.3">
      <c r="A125" s="39" t="s">
        <v>233</v>
      </c>
      <c r="B125" s="1" t="s">
        <v>12</v>
      </c>
      <c r="C125" s="11">
        <v>2</v>
      </c>
      <c r="D125" s="11">
        <v>2</v>
      </c>
      <c r="E125">
        <v>7</v>
      </c>
      <c r="F125">
        <v>7</v>
      </c>
      <c r="H125" s="87"/>
      <c r="I125" s="11"/>
      <c r="J125" s="11"/>
      <c r="K125" s="4" t="e">
        <f t="shared" si="5"/>
        <v>#N/A</v>
      </c>
    </row>
    <row r="126" spans="1:11" x14ac:dyDescent="0.3">
      <c r="A126" s="39" t="s">
        <v>234</v>
      </c>
      <c r="B126" s="1" t="s">
        <v>10</v>
      </c>
      <c r="C126">
        <v>7</v>
      </c>
      <c r="D126">
        <v>7</v>
      </c>
      <c r="H126" s="76">
        <v>42544</v>
      </c>
      <c r="I126">
        <v>13</v>
      </c>
      <c r="J126">
        <v>42046</v>
      </c>
      <c r="K126" s="4">
        <f t="shared" si="5"/>
        <v>0.98829447160586692</v>
      </c>
    </row>
    <row r="127" spans="1:11" x14ac:dyDescent="0.3">
      <c r="A127" s="39" t="s">
        <v>234</v>
      </c>
      <c r="B127" s="1" t="s">
        <v>12</v>
      </c>
      <c r="C127" s="11">
        <v>6</v>
      </c>
      <c r="D127" s="11">
        <v>6</v>
      </c>
      <c r="E127">
        <v>7</v>
      </c>
      <c r="F127">
        <v>7</v>
      </c>
      <c r="H127" s="87"/>
      <c r="I127" s="11"/>
      <c r="J127" s="11"/>
      <c r="K127" s="4" t="e">
        <f t="shared" si="5"/>
        <v>#N/A</v>
      </c>
    </row>
    <row r="128" spans="1:11" x14ac:dyDescent="0.3">
      <c r="A128" s="39" t="s">
        <v>235</v>
      </c>
      <c r="B128" s="1" t="s">
        <v>10</v>
      </c>
      <c r="H128" s="76">
        <v>42672</v>
      </c>
      <c r="I128">
        <v>14</v>
      </c>
      <c r="J128">
        <v>39796</v>
      </c>
      <c r="K128" s="4">
        <f t="shared" si="5"/>
        <v>0.93260217472815898</v>
      </c>
    </row>
    <row r="129" spans="1:11" x14ac:dyDescent="0.3">
      <c r="A129" s="39" t="s">
        <v>235</v>
      </c>
      <c r="B129" s="1" t="s">
        <v>12</v>
      </c>
      <c r="C129" s="11"/>
      <c r="D129" s="11"/>
      <c r="H129" s="87"/>
      <c r="I129" s="11"/>
      <c r="J129" s="11"/>
      <c r="K129" s="4" t="e">
        <f t="shared" si="5"/>
        <v>#N/A</v>
      </c>
    </row>
    <row r="130" spans="1:11" x14ac:dyDescent="0.3">
      <c r="A130" s="1">
        <v>46039</v>
      </c>
      <c r="B130" s="1" t="s">
        <v>10</v>
      </c>
      <c r="H130" s="76">
        <v>947</v>
      </c>
      <c r="I130">
        <v>1</v>
      </c>
      <c r="J130">
        <v>947</v>
      </c>
      <c r="K130" s="4">
        <f t="shared" si="5"/>
        <v>1</v>
      </c>
    </row>
    <row r="131" spans="1:11" x14ac:dyDescent="0.3">
      <c r="A131" s="1">
        <v>46039</v>
      </c>
      <c r="B131" s="1" t="s">
        <v>12</v>
      </c>
      <c r="C131" s="11"/>
      <c r="D131" s="11"/>
      <c r="H131" s="87"/>
      <c r="I131" s="11"/>
      <c r="J131" s="11"/>
      <c r="K131" s="4" t="e">
        <f t="shared" si="5"/>
        <v>#N/A</v>
      </c>
    </row>
    <row r="132" spans="1:11" x14ac:dyDescent="0.3">
      <c r="A132" s="1">
        <v>46040</v>
      </c>
      <c r="B132" s="1" t="s">
        <v>10</v>
      </c>
      <c r="H132" s="76">
        <v>884</v>
      </c>
      <c r="I132">
        <v>1</v>
      </c>
      <c r="J132">
        <v>884</v>
      </c>
      <c r="K132" s="4">
        <f t="shared" si="5"/>
        <v>1</v>
      </c>
    </row>
    <row r="133" spans="1:11" x14ac:dyDescent="0.3">
      <c r="A133" s="1">
        <v>46040</v>
      </c>
      <c r="B133" s="1" t="s">
        <v>12</v>
      </c>
      <c r="C133" s="11"/>
      <c r="D133" s="11"/>
      <c r="H133" s="87"/>
      <c r="I133" s="11"/>
      <c r="J133" s="11"/>
      <c r="K133" s="4" t="e">
        <f t="shared" si="5"/>
        <v>#N/A</v>
      </c>
    </row>
    <row r="134" spans="1:11" x14ac:dyDescent="0.3">
      <c r="A134" s="1">
        <v>46041</v>
      </c>
      <c r="B134" s="1" t="s">
        <v>10</v>
      </c>
      <c r="C134">
        <v>9</v>
      </c>
      <c r="D134">
        <v>9</v>
      </c>
      <c r="H134" s="76">
        <v>17827</v>
      </c>
      <c r="I134">
        <v>11</v>
      </c>
      <c r="J134">
        <v>17533</v>
      </c>
      <c r="K134" s="4">
        <f t="shared" si="5"/>
        <v>0.98350816177707967</v>
      </c>
    </row>
    <row r="135" spans="1:11" x14ac:dyDescent="0.3">
      <c r="A135" s="1">
        <v>46041</v>
      </c>
      <c r="B135" s="1" t="s">
        <v>12</v>
      </c>
      <c r="C135" s="11">
        <v>4</v>
      </c>
      <c r="D135" s="11">
        <v>4</v>
      </c>
      <c r="E135">
        <v>11</v>
      </c>
      <c r="F135">
        <v>11</v>
      </c>
      <c r="H135" s="87"/>
      <c r="I135" s="11"/>
      <c r="J135" s="11"/>
      <c r="K135" s="4" t="e">
        <f t="shared" si="5"/>
        <v>#N/A</v>
      </c>
    </row>
    <row r="136" spans="1:11" x14ac:dyDescent="0.3">
      <c r="A136" s="1">
        <v>46042</v>
      </c>
      <c r="B136" s="1" t="s">
        <v>10</v>
      </c>
      <c r="C136">
        <v>6</v>
      </c>
      <c r="D136">
        <v>6</v>
      </c>
      <c r="H136" s="76">
        <v>4467</v>
      </c>
      <c r="I136">
        <v>3</v>
      </c>
      <c r="J136">
        <v>4467</v>
      </c>
      <c r="K136" s="4">
        <f t="shared" si="5"/>
        <v>1</v>
      </c>
    </row>
    <row r="137" spans="1:11" x14ac:dyDescent="0.3">
      <c r="A137" s="1">
        <v>46042</v>
      </c>
      <c r="B137" s="1" t="s">
        <v>12</v>
      </c>
      <c r="C137" s="11">
        <v>3</v>
      </c>
      <c r="D137" s="11">
        <v>3</v>
      </c>
      <c r="E137">
        <v>11</v>
      </c>
      <c r="F137">
        <v>11</v>
      </c>
      <c r="H137" s="87"/>
      <c r="I137" s="11"/>
      <c r="J137" s="11"/>
      <c r="K137" s="4" t="e">
        <f t="shared" si="5"/>
        <v>#N/A</v>
      </c>
    </row>
    <row r="138" spans="1:11" x14ac:dyDescent="0.3">
      <c r="A138" s="1">
        <v>46043</v>
      </c>
      <c r="B138" s="1" t="s">
        <v>10</v>
      </c>
      <c r="C138">
        <v>6</v>
      </c>
      <c r="D138">
        <v>6</v>
      </c>
      <c r="H138" s="76">
        <v>33249</v>
      </c>
      <c r="I138">
        <v>11</v>
      </c>
      <c r="J138">
        <v>32666</v>
      </c>
      <c r="K138" s="4">
        <f t="shared" si="5"/>
        <v>0.98246563806430265</v>
      </c>
    </row>
    <row r="139" spans="1:11" x14ac:dyDescent="0.3">
      <c r="A139" s="1">
        <v>46043</v>
      </c>
      <c r="B139" s="1" t="s">
        <v>12</v>
      </c>
      <c r="C139" s="11">
        <v>3</v>
      </c>
      <c r="D139" s="11">
        <v>3</v>
      </c>
      <c r="E139">
        <v>13</v>
      </c>
      <c r="F139">
        <v>13</v>
      </c>
      <c r="H139" s="87"/>
      <c r="I139" s="11"/>
      <c r="J139" s="11"/>
      <c r="K139" s="4" t="e">
        <f t="shared" si="5"/>
        <v>#N/A</v>
      </c>
    </row>
    <row r="140" spans="1:11" x14ac:dyDescent="0.3">
      <c r="A140" s="1">
        <v>46044</v>
      </c>
      <c r="B140" s="1" t="s">
        <v>10</v>
      </c>
      <c r="C140">
        <v>9</v>
      </c>
      <c r="D140">
        <v>9</v>
      </c>
      <c r="H140" s="76">
        <v>31408</v>
      </c>
      <c r="I140">
        <v>12</v>
      </c>
      <c r="J140">
        <v>31356</v>
      </c>
      <c r="K140" s="4">
        <f t="shared" si="5"/>
        <v>0.9983443708609272</v>
      </c>
    </row>
    <row r="141" spans="1:11" x14ac:dyDescent="0.3">
      <c r="A141" s="1">
        <v>46044</v>
      </c>
      <c r="B141" s="1" t="s">
        <v>12</v>
      </c>
      <c r="C141" s="11">
        <v>5</v>
      </c>
      <c r="D141" s="11">
        <v>5</v>
      </c>
      <c r="E141">
        <v>11</v>
      </c>
      <c r="F141">
        <v>11</v>
      </c>
      <c r="H141" s="87"/>
      <c r="I141" s="11"/>
      <c r="J141" s="11"/>
      <c r="K141" s="4" t="e">
        <f t="shared" si="5"/>
        <v>#N/A</v>
      </c>
    </row>
    <row r="142" spans="1:11" x14ac:dyDescent="0.3">
      <c r="A142" s="1">
        <v>46045</v>
      </c>
      <c r="B142" s="1" t="s">
        <v>10</v>
      </c>
      <c r="C142">
        <v>7</v>
      </c>
      <c r="D142">
        <v>7</v>
      </c>
      <c r="H142" s="76">
        <v>38756</v>
      </c>
      <c r="I142">
        <v>17</v>
      </c>
      <c r="J142">
        <v>38200</v>
      </c>
      <c r="K142" s="4">
        <f t="shared" si="5"/>
        <v>0.98565383424502018</v>
      </c>
    </row>
    <row r="143" spans="1:11" x14ac:dyDescent="0.3">
      <c r="A143" s="1">
        <v>46045</v>
      </c>
      <c r="B143" s="1" t="s">
        <v>12</v>
      </c>
      <c r="C143" s="11">
        <v>2</v>
      </c>
      <c r="D143" s="11">
        <v>2</v>
      </c>
      <c r="E143">
        <v>8</v>
      </c>
      <c r="F143">
        <v>8</v>
      </c>
      <c r="H143" s="87"/>
      <c r="I143" s="11"/>
      <c r="J143" s="11"/>
      <c r="K143" s="4" t="e">
        <f t="shared" si="5"/>
        <v>#N/A</v>
      </c>
    </row>
    <row r="144" spans="1:11" x14ac:dyDescent="0.3">
      <c r="A144" s="1">
        <v>46046</v>
      </c>
      <c r="B144" s="1" t="s">
        <v>10</v>
      </c>
      <c r="C144">
        <v>7</v>
      </c>
      <c r="D144">
        <v>7</v>
      </c>
      <c r="H144" s="76">
        <v>23441</v>
      </c>
      <c r="I144">
        <v>7</v>
      </c>
      <c r="J144">
        <v>22400</v>
      </c>
      <c r="K144" s="4">
        <f t="shared" si="5"/>
        <v>0.95559063179898474</v>
      </c>
    </row>
    <row r="145" spans="1:16" x14ac:dyDescent="0.3">
      <c r="A145" s="1">
        <v>46046</v>
      </c>
      <c r="B145" s="1" t="s">
        <v>12</v>
      </c>
      <c r="C145" s="11"/>
      <c r="D145" s="11"/>
      <c r="E145">
        <v>10</v>
      </c>
      <c r="F145">
        <v>10</v>
      </c>
      <c r="H145" s="87"/>
      <c r="I145" s="11"/>
      <c r="J145" s="11"/>
      <c r="K145" s="4" t="e">
        <f t="shared" si="5"/>
        <v>#N/A</v>
      </c>
    </row>
    <row r="146" spans="1:16" x14ac:dyDescent="0.3">
      <c r="A146" s="1">
        <v>46047</v>
      </c>
      <c r="B146" s="1" t="s">
        <v>10</v>
      </c>
      <c r="H146" s="76">
        <v>858</v>
      </c>
      <c r="I146">
        <v>1</v>
      </c>
      <c r="J146">
        <v>858</v>
      </c>
      <c r="K146" s="4">
        <f t="shared" si="5"/>
        <v>1</v>
      </c>
    </row>
    <row r="147" spans="1:16" x14ac:dyDescent="0.3">
      <c r="A147" s="1">
        <v>46047</v>
      </c>
      <c r="B147" s="1" t="s">
        <v>12</v>
      </c>
      <c r="C147" s="11"/>
      <c r="D147" s="11"/>
      <c r="H147" s="87"/>
      <c r="I147" s="11"/>
      <c r="J147" s="11"/>
      <c r="K147" s="4" t="e">
        <f t="shared" si="5"/>
        <v>#N/A</v>
      </c>
    </row>
    <row r="148" spans="1:16" x14ac:dyDescent="0.3">
      <c r="A148" s="1">
        <v>46048</v>
      </c>
      <c r="B148" s="1" t="s">
        <v>10</v>
      </c>
      <c r="C148">
        <v>8</v>
      </c>
      <c r="D148">
        <v>7</v>
      </c>
      <c r="H148" s="76">
        <v>45898</v>
      </c>
      <c r="I148">
        <v>16</v>
      </c>
      <c r="J148">
        <v>44661</v>
      </c>
      <c r="K148" s="4">
        <f t="shared" si="5"/>
        <v>0.97304893459409991</v>
      </c>
    </row>
    <row r="149" spans="1:16" x14ac:dyDescent="0.3">
      <c r="A149" s="1">
        <v>46048</v>
      </c>
      <c r="B149" s="1" t="s">
        <v>12</v>
      </c>
      <c r="C149" s="11">
        <v>4</v>
      </c>
      <c r="D149" s="11">
        <v>4</v>
      </c>
      <c r="E149">
        <v>11</v>
      </c>
      <c r="F149">
        <v>11</v>
      </c>
      <c r="H149" s="87"/>
      <c r="I149" s="11"/>
      <c r="J149" s="11"/>
      <c r="K149" s="4" t="e">
        <f t="shared" si="5"/>
        <v>#N/A</v>
      </c>
    </row>
    <row r="150" spans="1:16" x14ac:dyDescent="0.3">
      <c r="A150" s="1">
        <v>46049</v>
      </c>
      <c r="B150" s="1" t="s">
        <v>10</v>
      </c>
      <c r="C150">
        <v>10</v>
      </c>
      <c r="D150">
        <v>10</v>
      </c>
      <c r="H150" s="76">
        <v>24008</v>
      </c>
      <c r="I150">
        <v>10</v>
      </c>
      <c r="J150">
        <v>24008</v>
      </c>
      <c r="K150" s="4">
        <f t="shared" si="5"/>
        <v>1</v>
      </c>
    </row>
    <row r="151" spans="1:16" x14ac:dyDescent="0.3">
      <c r="A151" s="1">
        <v>46049</v>
      </c>
      <c r="B151" s="1" t="s">
        <v>12</v>
      </c>
      <c r="C151" s="11">
        <v>4</v>
      </c>
      <c r="D151" s="11">
        <v>4</v>
      </c>
      <c r="E151">
        <v>10</v>
      </c>
      <c r="F151">
        <v>10</v>
      </c>
      <c r="H151" s="87"/>
      <c r="I151" s="11"/>
      <c r="J151" s="11"/>
      <c r="K151" s="4" t="e">
        <f t="shared" si="5"/>
        <v>#N/A</v>
      </c>
    </row>
    <row r="152" spans="1:16" x14ac:dyDescent="0.3">
      <c r="A152" s="1">
        <v>46050</v>
      </c>
      <c r="B152" s="1" t="s">
        <v>10</v>
      </c>
      <c r="C152">
        <v>7</v>
      </c>
      <c r="D152">
        <v>7</v>
      </c>
      <c r="H152" s="76">
        <v>31012</v>
      </c>
      <c r="I152">
        <v>13</v>
      </c>
      <c r="J152">
        <v>31012</v>
      </c>
      <c r="K152" s="4">
        <f t="shared" si="5"/>
        <v>1</v>
      </c>
    </row>
    <row r="153" spans="1:16" x14ac:dyDescent="0.3">
      <c r="A153" s="1">
        <v>46050</v>
      </c>
      <c r="B153" s="1" t="s">
        <v>12</v>
      </c>
      <c r="C153" s="11">
        <v>1</v>
      </c>
      <c r="D153" s="11">
        <v>1</v>
      </c>
      <c r="E153">
        <v>11</v>
      </c>
      <c r="F153">
        <v>11</v>
      </c>
      <c r="H153" s="87"/>
      <c r="I153" s="11"/>
      <c r="J153" s="11"/>
      <c r="K153" s="4" t="e">
        <f t="shared" si="5"/>
        <v>#N/A</v>
      </c>
    </row>
    <row r="154" spans="1:16" x14ac:dyDescent="0.3">
      <c r="A154" s="1">
        <v>46051</v>
      </c>
      <c r="B154" s="1" t="s">
        <v>10</v>
      </c>
      <c r="C154">
        <v>4</v>
      </c>
      <c r="D154">
        <v>4</v>
      </c>
      <c r="H154" s="76">
        <v>39802</v>
      </c>
      <c r="I154">
        <v>1</v>
      </c>
      <c r="J154">
        <v>39142</v>
      </c>
      <c r="K154" s="4">
        <f t="shared" si="5"/>
        <v>0.98341791869755291</v>
      </c>
      <c r="N154" s="64" t="s">
        <v>236</v>
      </c>
      <c r="O154" s="64"/>
      <c r="P154" s="64"/>
    </row>
    <row r="155" spans="1:16" x14ac:dyDescent="0.3">
      <c r="A155" s="1">
        <v>46051</v>
      </c>
      <c r="B155" s="1" t="s">
        <v>12</v>
      </c>
      <c r="C155" s="11">
        <v>1</v>
      </c>
      <c r="D155" s="11">
        <v>1</v>
      </c>
      <c r="E155">
        <v>11</v>
      </c>
      <c r="F155">
        <v>11</v>
      </c>
      <c r="H155" s="87"/>
      <c r="I155" s="11"/>
      <c r="J155" s="11"/>
      <c r="K155" s="4" t="e">
        <f t="shared" si="5"/>
        <v>#N/A</v>
      </c>
    </row>
    <row r="156" spans="1:16" x14ac:dyDescent="0.3">
      <c r="A156" s="1">
        <v>46052</v>
      </c>
      <c r="B156" s="1" t="s">
        <v>10</v>
      </c>
      <c r="C156">
        <v>8</v>
      </c>
      <c r="D156">
        <v>8</v>
      </c>
      <c r="H156" s="76">
        <v>34863</v>
      </c>
      <c r="I156">
        <v>13</v>
      </c>
      <c r="J156">
        <v>32793</v>
      </c>
      <c r="K156" s="4">
        <f t="shared" si="5"/>
        <v>0.94062473109026767</v>
      </c>
      <c r="N156" s="64" t="s">
        <v>237</v>
      </c>
    </row>
    <row r="157" spans="1:16" x14ac:dyDescent="0.3">
      <c r="A157" s="1">
        <v>46052</v>
      </c>
      <c r="B157" s="1" t="s">
        <v>12</v>
      </c>
      <c r="C157" s="11">
        <v>3</v>
      </c>
      <c r="D157" s="11">
        <v>3</v>
      </c>
      <c r="E157">
        <v>8</v>
      </c>
      <c r="F157">
        <v>8</v>
      </c>
      <c r="H157" s="87"/>
      <c r="I157" s="11"/>
      <c r="J157" s="11"/>
      <c r="K157" s="4" t="e">
        <f t="shared" si="5"/>
        <v>#N/A</v>
      </c>
    </row>
    <row r="158" spans="1:16" x14ac:dyDescent="0.3">
      <c r="A158" s="1">
        <v>46053</v>
      </c>
      <c r="B158" s="1" t="s">
        <v>10</v>
      </c>
      <c r="H158" s="76">
        <v>6290</v>
      </c>
      <c r="I158">
        <v>2</v>
      </c>
      <c r="J158">
        <v>6087</v>
      </c>
      <c r="K158" s="4">
        <f t="shared" si="5"/>
        <v>0.96772655007949127</v>
      </c>
    </row>
    <row r="159" spans="1:16" x14ac:dyDescent="0.3">
      <c r="A159" s="1">
        <v>46053</v>
      </c>
      <c r="B159" s="1" t="s">
        <v>12</v>
      </c>
      <c r="C159" s="11"/>
      <c r="D159" s="11"/>
      <c r="H159" s="87"/>
      <c r="I159" s="11"/>
      <c r="J159" s="11"/>
      <c r="K159" s="4" t="e">
        <f t="shared" si="5"/>
        <v>#N/A</v>
      </c>
    </row>
    <row r="160" spans="1:16" x14ac:dyDescent="0.3">
      <c r="A160" s="1">
        <v>46054</v>
      </c>
      <c r="B160" s="1" t="s">
        <v>10</v>
      </c>
      <c r="H160" s="76">
        <v>966</v>
      </c>
      <c r="I160">
        <v>1</v>
      </c>
      <c r="J160">
        <v>966</v>
      </c>
      <c r="K160" s="4">
        <f t="shared" si="5"/>
        <v>1</v>
      </c>
    </row>
    <row r="161" spans="1:17" x14ac:dyDescent="0.3">
      <c r="A161" s="1">
        <v>46054</v>
      </c>
      <c r="B161" s="1" t="s">
        <v>12</v>
      </c>
      <c r="C161" s="11"/>
      <c r="D161" s="11"/>
      <c r="H161" s="87"/>
      <c r="I161" s="11"/>
      <c r="J161" s="11"/>
      <c r="K161" s="4" t="e">
        <f t="shared" si="5"/>
        <v>#N/A</v>
      </c>
    </row>
    <row r="162" spans="1:17" x14ac:dyDescent="0.3">
      <c r="A162" s="1">
        <v>46055</v>
      </c>
      <c r="B162" s="1" t="s">
        <v>10</v>
      </c>
      <c r="C162">
        <v>8</v>
      </c>
      <c r="D162">
        <v>8</v>
      </c>
      <c r="H162" s="76">
        <v>19707</v>
      </c>
      <c r="I162">
        <v>11</v>
      </c>
      <c r="J162">
        <v>19066</v>
      </c>
      <c r="K162" s="4">
        <f t="shared" ref="K162:K166" si="6">IFERROR(J162/H162, NA())</f>
        <v>0.96747348657837318</v>
      </c>
      <c r="L162" s="70">
        <v>443.46</v>
      </c>
      <c r="N162" s="64" t="s">
        <v>238</v>
      </c>
      <c r="O162" s="64"/>
      <c r="P162" s="64"/>
      <c r="Q162" s="64"/>
    </row>
    <row r="163" spans="1:17" x14ac:dyDescent="0.3">
      <c r="A163" s="1">
        <v>46055</v>
      </c>
      <c r="B163" s="1" t="s">
        <v>12</v>
      </c>
      <c r="C163" s="11">
        <v>5</v>
      </c>
      <c r="D163" s="11">
        <v>5</v>
      </c>
      <c r="E163">
        <v>7</v>
      </c>
      <c r="F163">
        <v>7</v>
      </c>
      <c r="H163" s="87"/>
      <c r="I163" s="11"/>
      <c r="J163" s="11"/>
      <c r="L163" s="70"/>
    </row>
    <row r="164" spans="1:17" x14ac:dyDescent="0.3">
      <c r="A164" s="1">
        <v>46056</v>
      </c>
      <c r="B164" s="1" t="s">
        <v>10</v>
      </c>
      <c r="C164">
        <v>8</v>
      </c>
      <c r="D164">
        <v>8</v>
      </c>
      <c r="H164" s="76">
        <v>12285</v>
      </c>
      <c r="I164">
        <v>11</v>
      </c>
      <c r="J164">
        <v>11887</v>
      </c>
      <c r="K164" s="4">
        <f t="shared" si="6"/>
        <v>0.96760276760276764</v>
      </c>
      <c r="L164" s="70">
        <v>347.87</v>
      </c>
      <c r="N164" s="64" t="s">
        <v>239</v>
      </c>
      <c r="O164" s="64"/>
      <c r="P164" s="64"/>
      <c r="Q164" s="64"/>
    </row>
    <row r="165" spans="1:17" x14ac:dyDescent="0.3">
      <c r="A165" s="1">
        <v>46056</v>
      </c>
      <c r="B165" s="1" t="s">
        <v>12</v>
      </c>
      <c r="C165" s="11">
        <v>3</v>
      </c>
      <c r="D165" s="11">
        <v>3</v>
      </c>
      <c r="E165">
        <v>13</v>
      </c>
      <c r="F165">
        <v>13</v>
      </c>
      <c r="H165" s="87"/>
      <c r="I165" s="11"/>
      <c r="J165" s="11"/>
      <c r="L165" s="70"/>
    </row>
    <row r="166" spans="1:17" x14ac:dyDescent="0.3">
      <c r="A166" s="1">
        <v>46057</v>
      </c>
      <c r="B166" s="1" t="s">
        <v>10</v>
      </c>
      <c r="C166">
        <v>6</v>
      </c>
      <c r="D166">
        <v>6</v>
      </c>
      <c r="H166" s="76">
        <v>29044</v>
      </c>
      <c r="I166">
        <v>14</v>
      </c>
      <c r="J166">
        <v>29010</v>
      </c>
      <c r="K166" s="4">
        <f t="shared" si="6"/>
        <v>0.99882936234678421</v>
      </c>
      <c r="L166" s="70">
        <v>380.54</v>
      </c>
      <c r="M166" s="69">
        <v>1</v>
      </c>
      <c r="N166" s="64" t="s">
        <v>240</v>
      </c>
      <c r="O166" s="64"/>
      <c r="P166" s="64"/>
      <c r="Q166" s="64"/>
    </row>
    <row r="167" spans="1:17" x14ac:dyDescent="0.3">
      <c r="A167" s="1">
        <v>46057</v>
      </c>
      <c r="B167" s="1" t="s">
        <v>12</v>
      </c>
      <c r="C167" s="11">
        <v>3</v>
      </c>
      <c r="D167" s="11">
        <v>3</v>
      </c>
      <c r="E167">
        <v>7</v>
      </c>
      <c r="F167">
        <v>7</v>
      </c>
      <c r="H167" s="87"/>
      <c r="I167" s="11"/>
      <c r="J167" s="11"/>
      <c r="L167" s="70"/>
    </row>
    <row r="168" spans="1:17" x14ac:dyDescent="0.3">
      <c r="A168" s="1">
        <v>46058</v>
      </c>
      <c r="B168" s="1" t="s">
        <v>10</v>
      </c>
      <c r="C168">
        <v>5</v>
      </c>
      <c r="D168">
        <v>5</v>
      </c>
      <c r="H168" s="76">
        <v>36475</v>
      </c>
      <c r="I168">
        <v>11</v>
      </c>
      <c r="J168">
        <v>36370</v>
      </c>
      <c r="K168" s="67" t="s">
        <v>241</v>
      </c>
      <c r="L168" s="70">
        <v>380.39</v>
      </c>
      <c r="N168" s="64"/>
      <c r="O168" s="64"/>
      <c r="P168" s="64"/>
      <c r="Q168" s="64"/>
    </row>
    <row r="169" spans="1:17" x14ac:dyDescent="0.3">
      <c r="A169" s="1">
        <v>46058</v>
      </c>
      <c r="B169" s="1" t="s">
        <v>12</v>
      </c>
      <c r="C169" s="11">
        <v>4</v>
      </c>
      <c r="D169" s="11">
        <v>4</v>
      </c>
      <c r="E169">
        <v>9</v>
      </c>
      <c r="F169" s="68">
        <v>9</v>
      </c>
      <c r="G169" s="66" t="s">
        <v>242</v>
      </c>
      <c r="H169" s="87">
        <v>33212</v>
      </c>
      <c r="I169" s="11">
        <v>8</v>
      </c>
      <c r="J169" s="11">
        <v>33107</v>
      </c>
      <c r="K169" s="67" t="s">
        <v>241</v>
      </c>
      <c r="L169" s="70"/>
      <c r="N169" s="64" t="s">
        <v>243</v>
      </c>
      <c r="O169" s="64"/>
      <c r="P169" s="64"/>
      <c r="Q169" s="64"/>
    </row>
    <row r="170" spans="1:17" x14ac:dyDescent="0.3">
      <c r="A170" s="1">
        <v>46059</v>
      </c>
      <c r="B170" s="1" t="s">
        <v>10</v>
      </c>
      <c r="C170">
        <v>5</v>
      </c>
      <c r="D170">
        <v>5</v>
      </c>
      <c r="H170" s="76">
        <v>39907</v>
      </c>
      <c r="I170">
        <v>13</v>
      </c>
      <c r="J170">
        <v>39849</v>
      </c>
      <c r="K170" s="67" t="s">
        <v>244</v>
      </c>
      <c r="L170" s="70">
        <v>445.19</v>
      </c>
      <c r="N170" s="64"/>
      <c r="O170" s="64"/>
      <c r="P170" s="64"/>
      <c r="Q170" s="64"/>
    </row>
    <row r="171" spans="1:17" x14ac:dyDescent="0.3">
      <c r="A171" s="1">
        <v>46059</v>
      </c>
      <c r="B171" s="1" t="s">
        <v>12</v>
      </c>
      <c r="C171" s="11">
        <v>4</v>
      </c>
      <c r="D171" s="11">
        <v>4</v>
      </c>
      <c r="E171">
        <v>7</v>
      </c>
      <c r="F171" s="68">
        <v>7</v>
      </c>
      <c r="G171" s="66" t="s">
        <v>242</v>
      </c>
      <c r="H171" s="87">
        <v>2992</v>
      </c>
      <c r="I171" s="11">
        <v>1</v>
      </c>
      <c r="J171" s="11">
        <v>2934</v>
      </c>
      <c r="K171" s="4">
        <f t="shared" ref="K171:K181" si="7">IFERROR(J171/H171, NA())</f>
        <v>0.98061497326203206</v>
      </c>
      <c r="L171" s="70"/>
      <c r="N171" s="64" t="s">
        <v>245</v>
      </c>
      <c r="O171" s="64"/>
      <c r="P171" s="64"/>
      <c r="Q171" s="64"/>
    </row>
    <row r="172" spans="1:17" x14ac:dyDescent="0.3">
      <c r="A172" s="1">
        <v>46060</v>
      </c>
      <c r="B172" s="1" t="s">
        <v>10</v>
      </c>
      <c r="H172" s="76">
        <v>889</v>
      </c>
      <c r="I172">
        <v>1</v>
      </c>
      <c r="J172">
        <v>889</v>
      </c>
      <c r="K172" s="4">
        <f t="shared" si="7"/>
        <v>1</v>
      </c>
      <c r="L172" s="70"/>
      <c r="N172" s="64"/>
      <c r="O172" s="64"/>
      <c r="P172" s="64"/>
      <c r="Q172" s="64"/>
    </row>
    <row r="173" spans="1:17" x14ac:dyDescent="0.3">
      <c r="A173" s="1">
        <v>46060</v>
      </c>
      <c r="B173" s="1" t="s">
        <v>12</v>
      </c>
      <c r="C173" s="11"/>
      <c r="D173" s="11"/>
      <c r="F173" s="68"/>
      <c r="G173" s="66"/>
      <c r="H173" s="87"/>
      <c r="I173" s="11"/>
      <c r="J173" s="11"/>
      <c r="L173" s="70"/>
      <c r="N173" s="64"/>
      <c r="O173" s="64"/>
      <c r="P173" s="64"/>
      <c r="Q173" s="64"/>
    </row>
    <row r="174" spans="1:17" x14ac:dyDescent="0.3">
      <c r="A174" s="1">
        <v>46061</v>
      </c>
      <c r="B174" s="1" t="s">
        <v>10</v>
      </c>
      <c r="H174" s="76">
        <v>765</v>
      </c>
      <c r="I174">
        <v>1</v>
      </c>
      <c r="J174">
        <v>765</v>
      </c>
      <c r="K174" s="4">
        <f t="shared" si="7"/>
        <v>1</v>
      </c>
      <c r="L174" s="70"/>
      <c r="N174" s="64"/>
      <c r="O174" s="64"/>
      <c r="P174" s="64"/>
      <c r="Q174" s="64"/>
    </row>
    <row r="175" spans="1:17" x14ac:dyDescent="0.3">
      <c r="A175" s="1">
        <v>46061</v>
      </c>
      <c r="B175" s="1" t="s">
        <v>12</v>
      </c>
      <c r="C175" s="11"/>
      <c r="D175" s="11"/>
      <c r="F175" s="68"/>
      <c r="G175" s="66"/>
      <c r="H175" s="87"/>
      <c r="I175" s="11"/>
      <c r="J175" s="11"/>
      <c r="L175" s="70"/>
      <c r="N175" s="64"/>
      <c r="O175" s="64"/>
      <c r="P175" s="64"/>
      <c r="Q175" s="64"/>
    </row>
    <row r="176" spans="1:17" x14ac:dyDescent="0.3">
      <c r="A176" s="1">
        <v>46062</v>
      </c>
      <c r="B176" s="1" t="s">
        <v>10</v>
      </c>
      <c r="C176">
        <v>12</v>
      </c>
      <c r="D176">
        <v>12</v>
      </c>
      <c r="H176" s="76">
        <v>17905</v>
      </c>
      <c r="I176">
        <v>8</v>
      </c>
      <c r="J176">
        <v>17905</v>
      </c>
      <c r="K176" s="4">
        <f t="shared" si="7"/>
        <v>1</v>
      </c>
      <c r="L176" s="73">
        <v>301.26</v>
      </c>
      <c r="N176" s="64"/>
      <c r="O176" s="64"/>
      <c r="P176" s="64"/>
      <c r="Q176" s="64"/>
    </row>
    <row r="177" spans="1:17" x14ac:dyDescent="0.3">
      <c r="A177" s="1">
        <v>46062</v>
      </c>
      <c r="B177" s="1" t="s">
        <v>12</v>
      </c>
      <c r="C177" s="11">
        <v>4</v>
      </c>
      <c r="D177" s="11">
        <v>4</v>
      </c>
      <c r="E177">
        <v>9</v>
      </c>
      <c r="F177" s="68">
        <v>9</v>
      </c>
      <c r="G177" s="66" t="s">
        <v>242</v>
      </c>
      <c r="H177" s="87">
        <v>3512</v>
      </c>
      <c r="I177" s="11">
        <v>1</v>
      </c>
      <c r="J177" s="11">
        <v>3512</v>
      </c>
      <c r="K177" s="4">
        <f t="shared" si="7"/>
        <v>1</v>
      </c>
      <c r="L177" s="70"/>
      <c r="N177" s="64" t="s">
        <v>246</v>
      </c>
      <c r="O177" s="64"/>
      <c r="P177" s="64"/>
      <c r="Q177" s="64"/>
    </row>
    <row r="178" spans="1:17" x14ac:dyDescent="0.3">
      <c r="A178" s="1">
        <v>46063</v>
      </c>
      <c r="B178" s="1" t="s">
        <v>10</v>
      </c>
      <c r="C178">
        <v>7</v>
      </c>
      <c r="D178">
        <v>7</v>
      </c>
      <c r="H178" s="76">
        <v>29908</v>
      </c>
      <c r="I178">
        <v>10</v>
      </c>
      <c r="J178">
        <v>29908</v>
      </c>
      <c r="K178" s="4">
        <f t="shared" si="7"/>
        <v>1</v>
      </c>
      <c r="L178" s="71">
        <v>321.27999999999997</v>
      </c>
      <c r="M178" s="69">
        <v>1</v>
      </c>
      <c r="N178" s="64"/>
      <c r="O178" s="64"/>
      <c r="P178" s="64"/>
      <c r="Q178" s="64"/>
    </row>
    <row r="179" spans="1:17" x14ac:dyDescent="0.3">
      <c r="A179" s="1">
        <v>46063</v>
      </c>
      <c r="B179" s="1" t="s">
        <v>12</v>
      </c>
      <c r="C179" s="11">
        <v>3</v>
      </c>
      <c r="D179" s="11">
        <v>3</v>
      </c>
      <c r="E179">
        <v>8</v>
      </c>
      <c r="F179" s="68">
        <v>8</v>
      </c>
      <c r="G179" s="66" t="s">
        <v>242</v>
      </c>
      <c r="H179" s="87">
        <v>27284</v>
      </c>
      <c r="I179" s="11">
        <v>8</v>
      </c>
      <c r="J179" s="11">
        <v>27284</v>
      </c>
      <c r="K179" s="4">
        <f t="shared" si="7"/>
        <v>1</v>
      </c>
      <c r="L179" s="70"/>
      <c r="N179" s="64"/>
      <c r="O179" s="64"/>
      <c r="P179" s="64"/>
      <c r="Q179" s="64"/>
    </row>
    <row r="180" spans="1:17" x14ac:dyDescent="0.3">
      <c r="A180" s="1">
        <v>46064</v>
      </c>
      <c r="B180" s="1" t="s">
        <v>10</v>
      </c>
      <c r="C180">
        <v>5</v>
      </c>
      <c r="D180">
        <v>5</v>
      </c>
      <c r="H180" s="76">
        <v>24089</v>
      </c>
      <c r="I180">
        <v>11</v>
      </c>
      <c r="J180">
        <v>24028</v>
      </c>
      <c r="K180" s="4">
        <f t="shared" si="7"/>
        <v>0.99746772385736227</v>
      </c>
      <c r="L180" s="70">
        <v>339.03</v>
      </c>
      <c r="N180" s="64" t="s">
        <v>247</v>
      </c>
      <c r="O180" s="64"/>
      <c r="P180" s="64"/>
      <c r="Q180" s="64"/>
    </row>
    <row r="181" spans="1:17" x14ac:dyDescent="0.3">
      <c r="A181" s="1">
        <v>46064</v>
      </c>
      <c r="B181" s="1" t="s">
        <v>12</v>
      </c>
      <c r="C181" s="11">
        <v>2</v>
      </c>
      <c r="D181" s="11">
        <v>2</v>
      </c>
      <c r="E181">
        <v>9</v>
      </c>
      <c r="F181" s="68">
        <v>9</v>
      </c>
      <c r="G181" s="66" t="s">
        <v>242</v>
      </c>
      <c r="H181" s="87">
        <v>10095</v>
      </c>
      <c r="I181" s="11">
        <v>2</v>
      </c>
      <c r="J181" s="11">
        <v>10095</v>
      </c>
      <c r="K181" s="4">
        <f t="shared" si="7"/>
        <v>1</v>
      </c>
      <c r="L181" s="70"/>
      <c r="N181" s="64"/>
      <c r="O181" s="64"/>
      <c r="P181" s="64"/>
      <c r="Q181" s="64"/>
    </row>
    <row r="182" spans="1:17" x14ac:dyDescent="0.3">
      <c r="A182" s="1">
        <v>46065</v>
      </c>
      <c r="B182" s="1" t="s">
        <v>10</v>
      </c>
      <c r="C182">
        <v>7</v>
      </c>
      <c r="D182">
        <v>7</v>
      </c>
      <c r="H182" s="76">
        <v>19580</v>
      </c>
      <c r="I182">
        <v>8</v>
      </c>
      <c r="J182">
        <v>19580</v>
      </c>
      <c r="K182" s="4">
        <f t="shared" ref="K182:K191" si="8">IFERROR(J182/H182, NA())</f>
        <v>1</v>
      </c>
      <c r="L182" s="70">
        <v>388.16</v>
      </c>
    </row>
    <row r="183" spans="1:17" x14ac:dyDescent="0.3">
      <c r="A183" s="1">
        <v>46065</v>
      </c>
      <c r="B183" s="1" t="s">
        <v>12</v>
      </c>
      <c r="C183" s="11">
        <v>4</v>
      </c>
      <c r="D183" s="11">
        <v>4</v>
      </c>
      <c r="E183">
        <v>8</v>
      </c>
      <c r="F183">
        <v>8</v>
      </c>
      <c r="G183" s="66" t="s">
        <v>242</v>
      </c>
      <c r="H183" s="87">
        <v>11655</v>
      </c>
      <c r="I183" s="11">
        <v>2</v>
      </c>
      <c r="J183" s="11">
        <v>11655</v>
      </c>
      <c r="K183" s="4">
        <f t="shared" si="8"/>
        <v>1</v>
      </c>
      <c r="L183" s="70"/>
    </row>
    <row r="184" spans="1:17" x14ac:dyDescent="0.3">
      <c r="A184" s="1">
        <v>46066</v>
      </c>
      <c r="B184" s="1" t="s">
        <v>10</v>
      </c>
      <c r="C184">
        <v>7</v>
      </c>
      <c r="D184">
        <v>7</v>
      </c>
      <c r="H184" s="76">
        <v>39985</v>
      </c>
      <c r="I184">
        <v>14</v>
      </c>
      <c r="J184">
        <v>39985</v>
      </c>
      <c r="K184" s="4">
        <f t="shared" si="8"/>
        <v>1</v>
      </c>
      <c r="L184" s="73">
        <v>349.96</v>
      </c>
    </row>
    <row r="185" spans="1:17" x14ac:dyDescent="0.3">
      <c r="A185" s="1">
        <v>46066</v>
      </c>
      <c r="B185" s="1" t="s">
        <v>12</v>
      </c>
      <c r="C185" s="11">
        <v>3</v>
      </c>
      <c r="D185" s="11">
        <v>3</v>
      </c>
      <c r="E185">
        <v>9</v>
      </c>
      <c r="F185">
        <v>9</v>
      </c>
      <c r="G185" s="66" t="s">
        <v>242</v>
      </c>
      <c r="H185" s="87">
        <v>2944</v>
      </c>
      <c r="I185" s="11">
        <v>1</v>
      </c>
      <c r="J185" s="11">
        <v>2944</v>
      </c>
      <c r="K185" s="4">
        <f t="shared" si="8"/>
        <v>1</v>
      </c>
      <c r="L185" s="70"/>
    </row>
    <row r="186" spans="1:17" x14ac:dyDescent="0.3">
      <c r="A186" s="1">
        <v>46067</v>
      </c>
      <c r="B186" s="1" t="s">
        <v>10</v>
      </c>
      <c r="H186" s="76">
        <v>798</v>
      </c>
      <c r="I186">
        <v>1</v>
      </c>
      <c r="J186">
        <v>798</v>
      </c>
      <c r="K186" s="4">
        <f t="shared" si="8"/>
        <v>1</v>
      </c>
      <c r="L186" s="73"/>
    </row>
    <row r="187" spans="1:17" x14ac:dyDescent="0.3">
      <c r="A187" s="1">
        <v>46067</v>
      </c>
      <c r="B187" s="1" t="s">
        <v>12</v>
      </c>
      <c r="C187" s="11"/>
      <c r="D187" s="11"/>
      <c r="G187" s="66"/>
      <c r="H187" s="87"/>
      <c r="I187" s="11"/>
      <c r="J187" s="11"/>
      <c r="L187" s="70"/>
    </row>
    <row r="188" spans="1:17" x14ac:dyDescent="0.3">
      <c r="A188" s="1">
        <v>46068</v>
      </c>
      <c r="B188" s="1" t="s">
        <v>10</v>
      </c>
      <c r="C188">
        <v>1</v>
      </c>
      <c r="D188">
        <v>1</v>
      </c>
      <c r="H188" s="76">
        <v>771</v>
      </c>
      <c r="I188">
        <v>1</v>
      </c>
      <c r="J188">
        <v>771</v>
      </c>
      <c r="K188" s="4">
        <f t="shared" si="8"/>
        <v>1</v>
      </c>
      <c r="L188" s="73"/>
    </row>
    <row r="189" spans="1:17" x14ac:dyDescent="0.3">
      <c r="A189" s="1">
        <v>46068</v>
      </c>
      <c r="B189" s="1" t="s">
        <v>12</v>
      </c>
      <c r="C189" s="11"/>
      <c r="D189" s="11"/>
      <c r="G189" s="66"/>
      <c r="H189" s="87"/>
      <c r="I189" s="11"/>
      <c r="J189" s="11"/>
      <c r="L189" s="70"/>
    </row>
    <row r="190" spans="1:17" x14ac:dyDescent="0.3">
      <c r="A190" s="1">
        <v>46069</v>
      </c>
      <c r="B190" s="1" t="s">
        <v>10</v>
      </c>
      <c r="C190">
        <v>9</v>
      </c>
      <c r="D190">
        <v>9</v>
      </c>
      <c r="E190">
        <v>7</v>
      </c>
      <c r="F190">
        <v>7</v>
      </c>
      <c r="H190" s="76">
        <v>10856</v>
      </c>
      <c r="I190">
        <v>7</v>
      </c>
      <c r="J190">
        <v>10853</v>
      </c>
      <c r="K190" s="4">
        <f t="shared" si="8"/>
        <v>0.99972365512159178</v>
      </c>
      <c r="L190" s="73">
        <v>398.19</v>
      </c>
      <c r="N190" s="64" t="s">
        <v>248</v>
      </c>
    </row>
    <row r="191" spans="1:17" x14ac:dyDescent="0.3">
      <c r="A191" s="1">
        <v>46069</v>
      </c>
      <c r="B191" s="1" t="s">
        <v>12</v>
      </c>
      <c r="C191" s="11">
        <v>3</v>
      </c>
      <c r="D191" s="11">
        <v>3</v>
      </c>
      <c r="G191" s="66" t="s">
        <v>242</v>
      </c>
      <c r="H191" s="87">
        <v>8292</v>
      </c>
      <c r="I191" s="11">
        <v>3</v>
      </c>
      <c r="J191" s="11">
        <v>8292</v>
      </c>
      <c r="K191" s="4">
        <f t="shared" si="8"/>
        <v>1</v>
      </c>
      <c r="L191" s="70"/>
      <c r="N191" s="64" t="s">
        <v>249</v>
      </c>
      <c r="O191" s="64"/>
      <c r="P191" s="64"/>
    </row>
    <row r="192" spans="1:17" x14ac:dyDescent="0.3">
      <c r="A192" s="1">
        <v>46070</v>
      </c>
      <c r="B192" s="1" t="s">
        <v>10</v>
      </c>
      <c r="C192">
        <v>6</v>
      </c>
      <c r="D192">
        <v>6</v>
      </c>
      <c r="E192">
        <v>12</v>
      </c>
      <c r="F192">
        <v>12</v>
      </c>
      <c r="H192" s="76">
        <v>17160</v>
      </c>
      <c r="I192">
        <v>6</v>
      </c>
      <c r="J192">
        <v>17108</v>
      </c>
      <c r="K192" s="4">
        <f t="shared" ref="K192:K197" si="9">IFERROR(J192/H192, NA())</f>
        <v>0.99696969696969695</v>
      </c>
      <c r="L192" s="70">
        <v>321.36</v>
      </c>
      <c r="N192" s="64" t="s">
        <v>250</v>
      </c>
    </row>
    <row r="193" spans="1:22" x14ac:dyDescent="0.3">
      <c r="A193" s="1">
        <v>46070</v>
      </c>
      <c r="B193" s="1" t="s">
        <v>12</v>
      </c>
      <c r="C193" s="11">
        <v>1</v>
      </c>
      <c r="D193" s="11">
        <v>1</v>
      </c>
      <c r="G193" s="66" t="s">
        <v>242</v>
      </c>
      <c r="H193" s="87">
        <v>13715</v>
      </c>
      <c r="I193" s="11">
        <v>3</v>
      </c>
      <c r="J193" s="11">
        <v>13715</v>
      </c>
      <c r="K193" s="4">
        <f t="shared" si="9"/>
        <v>1</v>
      </c>
      <c r="L193" s="70"/>
      <c r="N193" s="64" t="s">
        <v>251</v>
      </c>
      <c r="O193" s="64"/>
      <c r="P193" s="64"/>
    </row>
    <row r="194" spans="1:22" x14ac:dyDescent="0.3">
      <c r="A194" s="1">
        <v>46071</v>
      </c>
      <c r="B194" s="1" t="s">
        <v>10</v>
      </c>
      <c r="C194">
        <v>4</v>
      </c>
      <c r="D194">
        <v>4</v>
      </c>
      <c r="E194">
        <v>12</v>
      </c>
      <c r="F194">
        <v>12</v>
      </c>
      <c r="H194" s="76">
        <v>19746</v>
      </c>
      <c r="I194">
        <v>10</v>
      </c>
      <c r="J194">
        <v>19746</v>
      </c>
      <c r="K194" s="4">
        <f t="shared" si="9"/>
        <v>1</v>
      </c>
      <c r="L194" s="73">
        <v>369.65</v>
      </c>
    </row>
    <row r="195" spans="1:22" x14ac:dyDescent="0.3">
      <c r="A195" s="1">
        <v>46071</v>
      </c>
      <c r="B195" s="1" t="s">
        <v>12</v>
      </c>
      <c r="C195" s="11">
        <v>4</v>
      </c>
      <c r="D195" s="11">
        <v>4</v>
      </c>
      <c r="G195" s="66" t="s">
        <v>242</v>
      </c>
      <c r="H195" s="87">
        <v>11080</v>
      </c>
      <c r="I195" s="11">
        <v>3</v>
      </c>
      <c r="J195" s="11">
        <v>11080</v>
      </c>
      <c r="K195" s="4">
        <f t="shared" si="9"/>
        <v>1</v>
      </c>
      <c r="L195" s="70"/>
    </row>
    <row r="196" spans="1:22" x14ac:dyDescent="0.3">
      <c r="A196" s="1">
        <v>46072</v>
      </c>
      <c r="B196" s="1" t="s">
        <v>10</v>
      </c>
      <c r="C196">
        <v>4</v>
      </c>
      <c r="D196">
        <v>4</v>
      </c>
      <c r="H196" s="76">
        <v>18435</v>
      </c>
      <c r="I196">
        <v>7</v>
      </c>
      <c r="J196">
        <v>18435</v>
      </c>
      <c r="K196" s="4">
        <f t="shared" si="9"/>
        <v>1</v>
      </c>
      <c r="L196" s="73">
        <v>310.45</v>
      </c>
    </row>
    <row r="197" spans="1:22" x14ac:dyDescent="0.3">
      <c r="A197" s="1">
        <v>46072</v>
      </c>
      <c r="B197" s="1" t="s">
        <v>12</v>
      </c>
      <c r="C197" s="11">
        <v>3</v>
      </c>
      <c r="D197" s="11">
        <v>3</v>
      </c>
      <c r="E197">
        <v>8</v>
      </c>
      <c r="F197">
        <v>8</v>
      </c>
      <c r="G197" s="66" t="s">
        <v>242</v>
      </c>
      <c r="H197" s="87">
        <v>12636</v>
      </c>
      <c r="I197" s="11">
        <v>3</v>
      </c>
      <c r="J197" s="11">
        <v>12636</v>
      </c>
      <c r="K197" s="4">
        <f t="shared" si="9"/>
        <v>1</v>
      </c>
      <c r="L197" s="70"/>
    </row>
    <row r="198" spans="1:22" x14ac:dyDescent="0.3">
      <c r="A198" s="1">
        <v>46076</v>
      </c>
      <c r="B198" s="1" t="s">
        <v>10</v>
      </c>
      <c r="C198">
        <v>11</v>
      </c>
      <c r="D198">
        <v>11</v>
      </c>
      <c r="H198" s="76">
        <v>35396</v>
      </c>
      <c r="I198">
        <v>12</v>
      </c>
      <c r="J198">
        <v>34851</v>
      </c>
      <c r="K198" s="4">
        <f t="shared" ref="K198:K199" si="10">IFERROR(J198/H198, NA())</f>
        <v>0.98460277997513845</v>
      </c>
      <c r="L198" s="73">
        <v>360.18</v>
      </c>
      <c r="M198">
        <v>1</v>
      </c>
      <c r="N198" s="74"/>
      <c r="O198" s="74"/>
      <c r="P198" s="74"/>
      <c r="Q198" s="74"/>
    </row>
    <row r="199" spans="1:22" x14ac:dyDescent="0.3">
      <c r="A199" s="1">
        <v>46076</v>
      </c>
      <c r="B199" s="1" t="s">
        <v>12</v>
      </c>
      <c r="C199" s="11">
        <v>5</v>
      </c>
      <c r="D199" s="11">
        <v>5</v>
      </c>
      <c r="E199">
        <v>7</v>
      </c>
      <c r="F199">
        <v>7</v>
      </c>
      <c r="G199" s="66" t="s">
        <v>242</v>
      </c>
      <c r="H199" s="87">
        <v>3296</v>
      </c>
      <c r="I199" s="11">
        <v>1</v>
      </c>
      <c r="J199" s="11">
        <v>3296</v>
      </c>
      <c r="K199" s="4">
        <f t="shared" si="10"/>
        <v>1</v>
      </c>
      <c r="L199" s="73"/>
      <c r="N199" s="74"/>
      <c r="O199" s="74"/>
      <c r="P199" s="74"/>
      <c r="Q199" s="74"/>
    </row>
    <row r="200" spans="1:22" x14ac:dyDescent="0.3">
      <c r="A200" s="1">
        <v>46077</v>
      </c>
      <c r="B200" s="1" t="s">
        <v>10</v>
      </c>
      <c r="C200">
        <v>9</v>
      </c>
      <c r="D200">
        <v>9</v>
      </c>
      <c r="H200" s="76">
        <v>18096</v>
      </c>
      <c r="I200">
        <v>7</v>
      </c>
      <c r="J200">
        <v>18096</v>
      </c>
      <c r="K200" s="4">
        <f t="shared" ref="K200:K205" si="11">IFERROR(J200/H200, NA())</f>
        <v>1</v>
      </c>
      <c r="L200" s="73">
        <v>309.26</v>
      </c>
    </row>
    <row r="201" spans="1:22" x14ac:dyDescent="0.3">
      <c r="A201" s="1">
        <v>46077</v>
      </c>
      <c r="B201" s="1" t="s">
        <v>12</v>
      </c>
      <c r="C201" s="11">
        <v>4</v>
      </c>
      <c r="D201" s="11">
        <v>4</v>
      </c>
      <c r="E201">
        <v>9</v>
      </c>
      <c r="F201">
        <v>9</v>
      </c>
      <c r="G201" s="66" t="s">
        <v>242</v>
      </c>
      <c r="H201" s="87">
        <v>7171</v>
      </c>
      <c r="I201" s="11">
        <v>2</v>
      </c>
      <c r="J201" s="11">
        <v>7171</v>
      </c>
      <c r="K201" s="4">
        <f t="shared" si="11"/>
        <v>1</v>
      </c>
      <c r="L201" s="73"/>
      <c r="M201">
        <v>1</v>
      </c>
    </row>
    <row r="202" spans="1:22" x14ac:dyDescent="0.3">
      <c r="A202" s="1">
        <v>46078</v>
      </c>
      <c r="B202" s="1" t="s">
        <v>10</v>
      </c>
      <c r="C202">
        <v>9</v>
      </c>
      <c r="D202">
        <v>9</v>
      </c>
      <c r="H202" s="76">
        <v>14410</v>
      </c>
      <c r="I202">
        <v>6</v>
      </c>
      <c r="J202">
        <v>13877</v>
      </c>
      <c r="K202" s="4">
        <f t="shared" si="11"/>
        <v>0.9630117973629424</v>
      </c>
      <c r="L202" s="73">
        <v>314.39</v>
      </c>
      <c r="N202" s="64" t="s">
        <v>252</v>
      </c>
      <c r="O202" s="64"/>
      <c r="P202" s="64"/>
      <c r="Q202" s="64"/>
    </row>
    <row r="203" spans="1:22" x14ac:dyDescent="0.3">
      <c r="A203" s="1">
        <v>46078</v>
      </c>
      <c r="B203" s="1" t="s">
        <v>12</v>
      </c>
      <c r="C203" s="11">
        <v>2</v>
      </c>
      <c r="D203" s="11">
        <v>2</v>
      </c>
      <c r="E203">
        <v>10</v>
      </c>
      <c r="F203">
        <v>10</v>
      </c>
      <c r="G203" s="66" t="s">
        <v>242</v>
      </c>
      <c r="H203" s="87">
        <v>7947</v>
      </c>
      <c r="I203" s="11">
        <v>3</v>
      </c>
      <c r="J203" s="11">
        <v>7947</v>
      </c>
      <c r="K203" s="4">
        <f t="shared" si="11"/>
        <v>1</v>
      </c>
      <c r="L203" s="73"/>
      <c r="N203" s="64" t="s">
        <v>253</v>
      </c>
      <c r="O203" s="64"/>
      <c r="P203" s="64"/>
      <c r="Q203" s="64"/>
    </row>
    <row r="204" spans="1:22" x14ac:dyDescent="0.3">
      <c r="A204" s="1">
        <v>46079</v>
      </c>
      <c r="B204" s="1" t="s">
        <v>10</v>
      </c>
      <c r="C204">
        <v>8</v>
      </c>
      <c r="D204">
        <v>8</v>
      </c>
      <c r="H204" s="76">
        <v>31274</v>
      </c>
      <c r="I204">
        <v>14</v>
      </c>
      <c r="J204">
        <v>31274</v>
      </c>
      <c r="K204" s="4">
        <f t="shared" si="11"/>
        <v>1</v>
      </c>
      <c r="L204" s="73">
        <v>361.63</v>
      </c>
      <c r="V204" s="91"/>
    </row>
    <row r="205" spans="1:22" x14ac:dyDescent="0.3">
      <c r="A205" s="1">
        <v>46079</v>
      </c>
      <c r="B205" s="1" t="s">
        <v>12</v>
      </c>
      <c r="C205" s="11">
        <v>4</v>
      </c>
      <c r="D205" s="11">
        <v>4</v>
      </c>
      <c r="E205">
        <v>9</v>
      </c>
      <c r="F205">
        <v>9</v>
      </c>
      <c r="G205" s="66" t="s">
        <v>242</v>
      </c>
      <c r="H205" s="87">
        <v>23531</v>
      </c>
      <c r="I205" s="11">
        <v>6</v>
      </c>
      <c r="J205" s="11">
        <v>23531</v>
      </c>
      <c r="K205" s="4">
        <f t="shared" si="11"/>
        <v>1</v>
      </c>
      <c r="L205" s="73"/>
    </row>
    <row r="206" spans="1:22" x14ac:dyDescent="0.3">
      <c r="A206" s="1">
        <v>46080</v>
      </c>
      <c r="B206" s="1" t="s">
        <v>10</v>
      </c>
      <c r="C206">
        <v>0</v>
      </c>
      <c r="D206">
        <v>0</v>
      </c>
      <c r="H206" s="76">
        <v>23417</v>
      </c>
      <c r="I206">
        <v>9</v>
      </c>
      <c r="J206">
        <v>23330</v>
      </c>
      <c r="K206" s="4">
        <f>IFERROR(J206/H206, NA())</f>
        <v>0.99628475039501219</v>
      </c>
      <c r="L206" s="73">
        <v>654.77</v>
      </c>
      <c r="N206" s="64" t="s">
        <v>254</v>
      </c>
      <c r="O206" s="64"/>
      <c r="P206" s="64"/>
    </row>
    <row r="207" spans="1:22" x14ac:dyDescent="0.3">
      <c r="A207" s="1">
        <v>46080</v>
      </c>
      <c r="B207" s="1" t="s">
        <v>12</v>
      </c>
      <c r="C207" s="11">
        <v>0</v>
      </c>
      <c r="D207" s="11">
        <v>0</v>
      </c>
      <c r="G207" s="66" t="s">
        <v>242</v>
      </c>
      <c r="H207" s="87">
        <v>14478</v>
      </c>
      <c r="I207" s="11">
        <v>3</v>
      </c>
      <c r="J207" s="11">
        <v>14478</v>
      </c>
      <c r="K207" s="4">
        <f>IFERROR(J207/H207, NA())</f>
        <v>1</v>
      </c>
      <c r="L207" s="73"/>
    </row>
    <row r="208" spans="1:22" x14ac:dyDescent="0.3">
      <c r="A208" s="1">
        <v>46081</v>
      </c>
      <c r="B208" s="1" t="s">
        <v>10</v>
      </c>
      <c r="H208" s="76">
        <v>6166</v>
      </c>
      <c r="I208">
        <v>2</v>
      </c>
      <c r="J208">
        <v>6106</v>
      </c>
      <c r="K208" s="4">
        <f>IFERROR(J208/H208, NA())</f>
        <v>0.9902692182938696</v>
      </c>
      <c r="L208" s="73"/>
    </row>
    <row r="209" spans="1:18" x14ac:dyDescent="0.3">
      <c r="A209" s="1">
        <v>46081</v>
      </c>
      <c r="B209" s="1" t="s">
        <v>12</v>
      </c>
      <c r="C209" s="11"/>
      <c r="D209" s="11"/>
      <c r="G209" s="66" t="s">
        <v>242</v>
      </c>
      <c r="H209" s="87"/>
      <c r="I209" s="11"/>
      <c r="J209" s="11"/>
      <c r="K209" s="4" t="e">
        <f>IFERROR(J209/H209, NA())</f>
        <v>#N/A</v>
      </c>
      <c r="L209" s="73"/>
    </row>
    <row r="210" spans="1:18" x14ac:dyDescent="0.3">
      <c r="A210" s="1">
        <v>46082</v>
      </c>
      <c r="B210" s="1" t="s">
        <v>10</v>
      </c>
      <c r="K210" s="4" t="e">
        <f>IFERROR(J210/H210, NA())</f>
        <v>#N/A</v>
      </c>
      <c r="L210" s="73"/>
    </row>
    <row r="211" spans="1:18" x14ac:dyDescent="0.3">
      <c r="A211" s="1">
        <v>46082</v>
      </c>
      <c r="B211" s="1" t="s">
        <v>12</v>
      </c>
      <c r="C211" s="11"/>
      <c r="D211" s="11"/>
      <c r="G211" s="66" t="s">
        <v>242</v>
      </c>
      <c r="H211" s="87"/>
      <c r="I211" s="11"/>
      <c r="J211" s="11"/>
      <c r="L211" s="70"/>
    </row>
    <row r="212" spans="1:18" x14ac:dyDescent="0.3">
      <c r="A212" s="1">
        <v>46083</v>
      </c>
      <c r="B212" s="1" t="s">
        <v>10</v>
      </c>
      <c r="C212">
        <v>8</v>
      </c>
      <c r="D212">
        <v>8</v>
      </c>
      <c r="G212" s="66"/>
      <c r="H212" s="76">
        <v>24693</v>
      </c>
      <c r="I212">
        <v>11</v>
      </c>
      <c r="J212">
        <v>24693</v>
      </c>
      <c r="K212" s="4">
        <f t="shared" ref="K212:K227" si="12">IFERROR(J212/H212, NA())</f>
        <v>1</v>
      </c>
      <c r="L212" s="70"/>
    </row>
    <row r="213" spans="1:18" x14ac:dyDescent="0.3">
      <c r="A213" s="1">
        <v>46083</v>
      </c>
      <c r="B213" s="1" t="s">
        <v>12</v>
      </c>
      <c r="C213" s="11">
        <v>4</v>
      </c>
      <c r="D213" s="11">
        <v>4</v>
      </c>
      <c r="E213">
        <v>8</v>
      </c>
      <c r="F213">
        <v>8</v>
      </c>
      <c r="G213" s="66" t="s">
        <v>242</v>
      </c>
      <c r="H213" s="87">
        <v>3120</v>
      </c>
      <c r="I213" s="11">
        <v>1</v>
      </c>
      <c r="J213" s="11">
        <v>3120</v>
      </c>
      <c r="K213" s="4">
        <f t="shared" si="12"/>
        <v>1</v>
      </c>
      <c r="L213" s="73"/>
    </row>
    <row r="214" spans="1:18" x14ac:dyDescent="0.3">
      <c r="A214" s="1">
        <v>46084</v>
      </c>
      <c r="B214" s="1" t="s">
        <v>10</v>
      </c>
      <c r="C214">
        <v>5</v>
      </c>
      <c r="D214">
        <v>5</v>
      </c>
      <c r="G214" s="66"/>
      <c r="H214" s="76">
        <v>23421</v>
      </c>
      <c r="I214">
        <v>10</v>
      </c>
      <c r="J214">
        <v>22773</v>
      </c>
      <c r="K214" s="4">
        <f t="shared" si="12"/>
        <v>0.97233252209555532</v>
      </c>
      <c r="L214" s="73">
        <v>310.07</v>
      </c>
      <c r="N214" s="64" t="s">
        <v>255</v>
      </c>
    </row>
    <row r="215" spans="1:18" x14ac:dyDescent="0.3">
      <c r="A215" s="1">
        <v>46084</v>
      </c>
      <c r="B215" s="1" t="s">
        <v>12</v>
      </c>
      <c r="C215" s="11">
        <v>1</v>
      </c>
      <c r="D215" s="11">
        <v>1</v>
      </c>
      <c r="E215">
        <v>8</v>
      </c>
      <c r="F215">
        <v>8</v>
      </c>
      <c r="G215" s="66"/>
      <c r="H215" s="87">
        <v>6764</v>
      </c>
      <c r="I215" s="11">
        <v>3</v>
      </c>
      <c r="J215" s="11">
        <v>6764</v>
      </c>
      <c r="K215" s="4">
        <f t="shared" si="12"/>
        <v>1</v>
      </c>
      <c r="L215" s="73"/>
      <c r="N215" s="64" t="s">
        <v>256</v>
      </c>
      <c r="O215" s="64"/>
      <c r="P215" s="64"/>
    </row>
    <row r="216" spans="1:18" x14ac:dyDescent="0.3">
      <c r="A216" s="1">
        <v>46085</v>
      </c>
      <c r="B216" s="1" t="s">
        <v>10</v>
      </c>
      <c r="C216">
        <v>5</v>
      </c>
      <c r="D216">
        <v>5</v>
      </c>
      <c r="G216" s="66"/>
      <c r="H216" s="76">
        <v>20466</v>
      </c>
      <c r="I216">
        <v>7</v>
      </c>
      <c r="J216">
        <v>20371</v>
      </c>
      <c r="K216" s="4">
        <f t="shared" si="12"/>
        <v>0.9953581549887619</v>
      </c>
      <c r="L216" s="73">
        <v>251.71</v>
      </c>
      <c r="N216" s="64" t="s">
        <v>257</v>
      </c>
    </row>
    <row r="217" spans="1:18" x14ac:dyDescent="0.3">
      <c r="A217" s="1">
        <v>46085</v>
      </c>
      <c r="B217" s="1" t="s">
        <v>12</v>
      </c>
      <c r="C217" s="11">
        <v>2</v>
      </c>
      <c r="D217" s="11">
        <v>2</v>
      </c>
      <c r="E217">
        <v>6</v>
      </c>
      <c r="F217">
        <v>6</v>
      </c>
      <c r="G217" s="66"/>
      <c r="H217" s="87">
        <v>15605</v>
      </c>
      <c r="I217" s="11">
        <v>4</v>
      </c>
      <c r="J217" s="11">
        <v>15605</v>
      </c>
      <c r="K217" s="4">
        <f t="shared" si="12"/>
        <v>1</v>
      </c>
      <c r="L217" s="73"/>
    </row>
    <row r="218" spans="1:18" x14ac:dyDescent="0.3">
      <c r="A218" s="1">
        <v>46086</v>
      </c>
      <c r="B218" s="1" t="s">
        <v>10</v>
      </c>
      <c r="C218">
        <v>2</v>
      </c>
      <c r="D218">
        <v>2</v>
      </c>
      <c r="G218" s="66"/>
      <c r="H218" s="76">
        <v>19718</v>
      </c>
      <c r="I218">
        <v>10</v>
      </c>
      <c r="J218">
        <v>19653</v>
      </c>
      <c r="K218" s="4">
        <f t="shared" si="12"/>
        <v>0.99670351962673698</v>
      </c>
      <c r="L218" s="73">
        <v>435.02</v>
      </c>
      <c r="N218" s="64" t="s">
        <v>258</v>
      </c>
    </row>
    <row r="219" spans="1:18" x14ac:dyDescent="0.3">
      <c r="A219" s="1">
        <v>46086</v>
      </c>
      <c r="B219" s="1" t="s">
        <v>12</v>
      </c>
      <c r="C219" s="11"/>
      <c r="D219" s="11"/>
      <c r="G219" s="66"/>
      <c r="H219" s="87">
        <v>12310</v>
      </c>
      <c r="I219" s="11">
        <v>3</v>
      </c>
      <c r="J219" s="11">
        <v>12310</v>
      </c>
      <c r="K219" s="4">
        <f t="shared" si="12"/>
        <v>1</v>
      </c>
      <c r="L219" s="73"/>
    </row>
    <row r="220" spans="1:18" x14ac:dyDescent="0.3">
      <c r="A220" s="1">
        <v>46087</v>
      </c>
      <c r="B220" s="1" t="s">
        <v>10</v>
      </c>
      <c r="G220" s="66"/>
      <c r="H220" s="76">
        <v>23967</v>
      </c>
      <c r="I220">
        <v>9</v>
      </c>
      <c r="J220">
        <v>23821</v>
      </c>
      <c r="K220" s="4">
        <f t="shared" si="12"/>
        <v>0.99390829056619523</v>
      </c>
      <c r="L220" s="73">
        <v>363.67</v>
      </c>
      <c r="N220" s="64" t="s">
        <v>259</v>
      </c>
    </row>
    <row r="221" spans="1:18" x14ac:dyDescent="0.3">
      <c r="A221" s="1">
        <v>46087</v>
      </c>
      <c r="B221" s="1" t="s">
        <v>12</v>
      </c>
      <c r="C221" s="11"/>
      <c r="D221" s="11"/>
      <c r="G221" s="66"/>
      <c r="H221" s="87">
        <v>13970</v>
      </c>
      <c r="I221" s="11">
        <v>3</v>
      </c>
      <c r="J221" s="11">
        <v>13970</v>
      </c>
      <c r="K221" s="4">
        <f t="shared" si="12"/>
        <v>1</v>
      </c>
      <c r="L221" s="73"/>
      <c r="N221" s="64" t="s">
        <v>260</v>
      </c>
      <c r="O221" s="64"/>
      <c r="P221" s="64"/>
      <c r="Q221" s="64"/>
      <c r="R221" s="64"/>
    </row>
    <row r="222" spans="1:18" x14ac:dyDescent="0.3">
      <c r="A222" s="1">
        <v>46088</v>
      </c>
      <c r="B222" s="1" t="s">
        <v>10</v>
      </c>
      <c r="G222" s="66"/>
      <c r="K222" s="4" t="e">
        <f t="shared" si="12"/>
        <v>#N/A</v>
      </c>
      <c r="L222" s="73"/>
    </row>
    <row r="223" spans="1:18" x14ac:dyDescent="0.3">
      <c r="A223" s="1">
        <v>46088</v>
      </c>
      <c r="B223" s="1" t="s">
        <v>12</v>
      </c>
      <c r="C223" s="11"/>
      <c r="D223" s="11"/>
      <c r="G223" s="66"/>
      <c r="H223" s="87"/>
      <c r="I223" s="11"/>
      <c r="J223" s="11"/>
      <c r="K223" s="4" t="e">
        <f t="shared" si="12"/>
        <v>#N/A</v>
      </c>
      <c r="L223" s="73"/>
    </row>
    <row r="224" spans="1:18" x14ac:dyDescent="0.3">
      <c r="A224" s="1">
        <v>46089</v>
      </c>
      <c r="B224" s="1" t="s">
        <v>10</v>
      </c>
      <c r="G224" s="66"/>
      <c r="K224" s="4" t="e">
        <f t="shared" si="12"/>
        <v>#N/A</v>
      </c>
      <c r="L224" s="73"/>
    </row>
    <row r="225" spans="1:16" x14ac:dyDescent="0.3">
      <c r="A225" s="1">
        <v>46089</v>
      </c>
      <c r="B225" s="1" t="s">
        <v>12</v>
      </c>
      <c r="C225" s="11"/>
      <c r="D225" s="11"/>
      <c r="G225" s="66"/>
      <c r="H225" s="87"/>
      <c r="I225" s="11"/>
      <c r="J225" s="11"/>
      <c r="K225" s="4" t="e">
        <f t="shared" si="12"/>
        <v>#N/A</v>
      </c>
      <c r="L225" s="73"/>
    </row>
    <row r="226" spans="1:16" x14ac:dyDescent="0.3">
      <c r="A226" s="1"/>
      <c r="B226" s="1" t="s">
        <v>10</v>
      </c>
      <c r="G226" s="66"/>
      <c r="H226" s="76">
        <v>21059</v>
      </c>
      <c r="I226">
        <v>9</v>
      </c>
      <c r="J226">
        <v>21057</v>
      </c>
      <c r="K226" s="4">
        <f t="shared" si="12"/>
        <v>0.99990502872880949</v>
      </c>
      <c r="L226" s="73">
        <v>495.87</v>
      </c>
      <c r="N226" s="64" t="s">
        <v>261</v>
      </c>
      <c r="O226" s="64"/>
      <c r="P226" s="64"/>
    </row>
    <row r="227" spans="1:16" x14ac:dyDescent="0.3">
      <c r="A227" s="1"/>
      <c r="B227" s="1" t="s">
        <v>12</v>
      </c>
      <c r="C227" s="11"/>
      <c r="D227" s="11"/>
      <c r="G227" s="66"/>
      <c r="H227" s="87">
        <v>2848</v>
      </c>
      <c r="I227" s="11">
        <v>1</v>
      </c>
      <c r="J227" s="11">
        <v>2848</v>
      </c>
      <c r="K227" s="4">
        <f t="shared" si="12"/>
        <v>1</v>
      </c>
      <c r="L227" s="73"/>
    </row>
    <row r="228" spans="1:16" x14ac:dyDescent="0.3">
      <c r="A228" s="1">
        <v>46090</v>
      </c>
      <c r="B228" s="1" t="s">
        <v>10</v>
      </c>
      <c r="G228" s="66"/>
      <c r="H228" s="76">
        <v>10067</v>
      </c>
      <c r="I228">
        <v>8</v>
      </c>
      <c r="J228">
        <v>10067</v>
      </c>
      <c r="K228" s="4">
        <f>IFERROR(J228/H228, NA())</f>
        <v>1</v>
      </c>
      <c r="L228" s="70">
        <v>301.05</v>
      </c>
      <c r="N228" s="64" t="s">
        <v>384</v>
      </c>
      <c r="O228" s="64"/>
      <c r="P228" s="64"/>
    </row>
    <row r="229" spans="1:16" x14ac:dyDescent="0.3">
      <c r="A229" s="1">
        <v>46090</v>
      </c>
      <c r="B229" s="1" t="s">
        <v>12</v>
      </c>
      <c r="C229" s="11"/>
      <c r="D229" s="11"/>
      <c r="G229" s="66"/>
      <c r="H229" s="87">
        <v>6068</v>
      </c>
      <c r="I229" s="11">
        <v>3</v>
      </c>
      <c r="J229" s="11">
        <v>6068</v>
      </c>
      <c r="K229" s="4">
        <f>IFERROR(J229/H229, NA())</f>
        <v>1</v>
      </c>
      <c r="L229" s="70"/>
    </row>
    <row r="230" spans="1:16" x14ac:dyDescent="0.3">
      <c r="A230" s="1"/>
    </row>
    <row r="231" spans="1:16" x14ac:dyDescent="0.3">
      <c r="A231" s="1"/>
    </row>
    <row r="232" spans="1:16" x14ac:dyDescent="0.3">
      <c r="A232" s="1"/>
    </row>
    <row r="233" spans="1:16" x14ac:dyDescent="0.3">
      <c r="A233" s="1"/>
    </row>
    <row r="234" spans="1:16" x14ac:dyDescent="0.3">
      <c r="A234" s="1"/>
    </row>
    <row r="235" spans="1:16" x14ac:dyDescent="0.3">
      <c r="A235" s="1"/>
    </row>
    <row r="236" spans="1:16" x14ac:dyDescent="0.3">
      <c r="A236" s="1"/>
    </row>
    <row r="237" spans="1:16" x14ac:dyDescent="0.3">
      <c r="A237" s="1"/>
    </row>
    <row r="238" spans="1:16" x14ac:dyDescent="0.3">
      <c r="A238" s="1"/>
    </row>
    <row r="239" spans="1:16" x14ac:dyDescent="0.3">
      <c r="A239" s="1"/>
    </row>
    <row r="240" spans="1:16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</sheetData>
  <mergeCells count="1">
    <mergeCell ref="N1:R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9A62-83C4-4AB3-A04B-396D27111C25}">
  <dimension ref="A1:D2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5" sqref="D15"/>
    </sheetView>
  </sheetViews>
  <sheetFormatPr defaultRowHeight="14.4" x14ac:dyDescent="0.3"/>
  <cols>
    <col min="1" max="1" width="20.44140625" style="1" customWidth="1"/>
    <col min="2" max="2" width="13.33203125" bestFit="1" customWidth="1"/>
    <col min="3" max="3" width="22.88671875" bestFit="1" customWidth="1"/>
    <col min="4" max="4" width="10.109375" bestFit="1" customWidth="1"/>
  </cols>
  <sheetData>
    <row r="1" spans="1:4" x14ac:dyDescent="0.3">
      <c r="A1" s="3" t="s">
        <v>0</v>
      </c>
      <c r="B1" s="2" t="s">
        <v>262</v>
      </c>
      <c r="C1" s="2" t="s">
        <v>263</v>
      </c>
      <c r="D1" s="2" t="s">
        <v>264</v>
      </c>
    </row>
    <row r="2" spans="1:4" x14ac:dyDescent="0.3">
      <c r="A2" s="1">
        <v>46083</v>
      </c>
      <c r="B2" t="s">
        <v>265</v>
      </c>
      <c r="C2">
        <v>6</v>
      </c>
    </row>
    <row r="3" spans="1:4" x14ac:dyDescent="0.3">
      <c r="A3" s="1">
        <v>46083</v>
      </c>
      <c r="B3" t="s">
        <v>266</v>
      </c>
      <c r="C3">
        <v>7</v>
      </c>
    </row>
    <row r="4" spans="1:4" x14ac:dyDescent="0.3">
      <c r="A4" s="1">
        <v>46083</v>
      </c>
      <c r="B4" t="s">
        <v>267</v>
      </c>
      <c r="C4">
        <v>2</v>
      </c>
    </row>
    <row r="5" spans="1:4" x14ac:dyDescent="0.3">
      <c r="A5" s="1">
        <v>46083</v>
      </c>
      <c r="B5" t="s">
        <v>268</v>
      </c>
      <c r="C5">
        <v>4</v>
      </c>
    </row>
    <row r="6" spans="1:4" x14ac:dyDescent="0.3">
      <c r="A6" s="1">
        <v>46083</v>
      </c>
      <c r="B6" t="s">
        <v>269</v>
      </c>
      <c r="C6">
        <v>4</v>
      </c>
    </row>
    <row r="7" spans="1:4" x14ac:dyDescent="0.3">
      <c r="A7" s="1">
        <v>46083</v>
      </c>
      <c r="B7" t="s">
        <v>270</v>
      </c>
      <c r="C7">
        <v>0</v>
      </c>
    </row>
    <row r="8" spans="1:4" x14ac:dyDescent="0.3">
      <c r="A8" s="1">
        <v>46083</v>
      </c>
      <c r="B8" t="s">
        <v>271</v>
      </c>
      <c r="C8">
        <v>0</v>
      </c>
    </row>
    <row r="9" spans="1:4" x14ac:dyDescent="0.3">
      <c r="A9" s="1">
        <v>46083</v>
      </c>
      <c r="B9" t="s">
        <v>272</v>
      </c>
      <c r="C9">
        <v>0</v>
      </c>
    </row>
    <row r="10" spans="1:4" x14ac:dyDescent="0.3">
      <c r="A10" s="1">
        <v>46086</v>
      </c>
      <c r="B10" t="s">
        <v>265</v>
      </c>
      <c r="C10">
        <v>3</v>
      </c>
    </row>
    <row r="11" spans="1:4" x14ac:dyDescent="0.3">
      <c r="A11" s="1">
        <v>46086</v>
      </c>
      <c r="B11" t="s">
        <v>266</v>
      </c>
      <c r="C11">
        <v>2</v>
      </c>
    </row>
    <row r="12" spans="1:4" x14ac:dyDescent="0.3">
      <c r="A12" s="1">
        <v>46086</v>
      </c>
      <c r="B12" t="s">
        <v>267</v>
      </c>
      <c r="C12">
        <v>4</v>
      </c>
      <c r="D12" t="s">
        <v>273</v>
      </c>
    </row>
    <row r="13" spans="1:4" x14ac:dyDescent="0.3">
      <c r="A13" s="1">
        <v>46086</v>
      </c>
      <c r="B13" t="s">
        <v>268</v>
      </c>
      <c r="C13">
        <v>21</v>
      </c>
    </row>
    <row r="14" spans="1:4" x14ac:dyDescent="0.3">
      <c r="A14" s="1">
        <v>46086</v>
      </c>
      <c r="B14" t="s">
        <v>269</v>
      </c>
      <c r="C14">
        <v>38</v>
      </c>
    </row>
    <row r="15" spans="1:4" x14ac:dyDescent="0.3">
      <c r="A15" s="1">
        <v>46086</v>
      </c>
      <c r="B15" t="s">
        <v>270</v>
      </c>
      <c r="C15">
        <v>3</v>
      </c>
    </row>
    <row r="16" spans="1:4" x14ac:dyDescent="0.3">
      <c r="A16" s="1">
        <v>46086</v>
      </c>
      <c r="B16" t="s">
        <v>271</v>
      </c>
      <c r="C16">
        <v>0</v>
      </c>
    </row>
    <row r="17" spans="1:4" x14ac:dyDescent="0.3">
      <c r="A17" s="1">
        <v>46086</v>
      </c>
      <c r="B17" t="s">
        <v>272</v>
      </c>
      <c r="C17">
        <v>0</v>
      </c>
    </row>
    <row r="21" spans="1:4" x14ac:dyDescent="0.3">
      <c r="A21" s="24"/>
      <c r="B21" s="81"/>
      <c r="C21" s="81"/>
      <c r="D21" s="81"/>
    </row>
    <row r="22" spans="1:4" x14ac:dyDescent="0.3">
      <c r="A22" s="24"/>
      <c r="B22" s="82"/>
      <c r="C22" s="82"/>
      <c r="D22" s="82"/>
    </row>
    <row r="23" spans="1:4" x14ac:dyDescent="0.3">
      <c r="A23" s="31"/>
      <c r="B23" s="81"/>
      <c r="C23" s="81"/>
      <c r="D23" s="8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607A-C1B9-4189-B78D-8AE019F67D67}">
  <dimension ref="A1:R90"/>
  <sheetViews>
    <sheetView workbookViewId="0">
      <pane xSplit="2" ySplit="1" topLeftCell="C65" activePane="bottomRight" state="frozen"/>
      <selection pane="topRight" activeCell="B1" sqref="B1"/>
      <selection pane="bottomLeft" activeCell="A2" sqref="A2"/>
      <selection pane="bottomRight" activeCell="H90" sqref="H90"/>
    </sheetView>
  </sheetViews>
  <sheetFormatPr defaultRowHeight="14.4" x14ac:dyDescent="0.3"/>
  <cols>
    <col min="1" max="1" width="20.44140625" customWidth="1"/>
    <col min="3" max="3" width="13" style="6" bestFit="1" customWidth="1"/>
    <col min="4" max="4" width="19.109375" bestFit="1" customWidth="1"/>
    <col min="5" max="5" width="12.6640625" customWidth="1"/>
    <col min="6" max="6" width="14.44140625" bestFit="1" customWidth="1"/>
    <col min="7" max="7" width="14.88671875" bestFit="1" customWidth="1"/>
    <col min="8" max="8" width="15.6640625" bestFit="1" customWidth="1"/>
    <col min="9" max="9" width="39.33203125" bestFit="1" customWidth="1"/>
    <col min="10" max="17" width="39.33203125" customWidth="1"/>
    <col min="18" max="18" width="9.33203125" bestFit="1" customWidth="1"/>
  </cols>
  <sheetData>
    <row r="1" spans="1:18" x14ac:dyDescent="0.3">
      <c r="A1" s="2" t="s">
        <v>0</v>
      </c>
      <c r="B1" s="2" t="s">
        <v>274</v>
      </c>
      <c r="C1" s="50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8</v>
      </c>
      <c r="J1" s="2" t="s">
        <v>265</v>
      </c>
      <c r="K1" s="2" t="s">
        <v>266</v>
      </c>
      <c r="L1" s="2" t="s">
        <v>267</v>
      </c>
      <c r="M1" s="2" t="s">
        <v>268</v>
      </c>
      <c r="N1" s="2" t="s">
        <v>269</v>
      </c>
      <c r="O1" s="2" t="s">
        <v>270</v>
      </c>
      <c r="P1" s="2" t="s">
        <v>281</v>
      </c>
      <c r="Q1" s="2" t="s">
        <v>272</v>
      </c>
      <c r="R1" s="2" t="s">
        <v>9</v>
      </c>
    </row>
    <row r="2" spans="1:18" x14ac:dyDescent="0.3">
      <c r="A2" s="1">
        <v>45979</v>
      </c>
      <c r="B2">
        <v>6</v>
      </c>
      <c r="C2" s="51">
        <v>49000</v>
      </c>
      <c r="D2">
        <v>62</v>
      </c>
      <c r="E2">
        <v>79</v>
      </c>
      <c r="H2">
        <v>486</v>
      </c>
      <c r="I2" t="s">
        <v>282</v>
      </c>
    </row>
    <row r="3" spans="1:18" x14ac:dyDescent="0.3">
      <c r="A3" s="1">
        <v>45980</v>
      </c>
      <c r="B3">
        <v>9</v>
      </c>
      <c r="C3" s="51">
        <v>51000</v>
      </c>
      <c r="D3">
        <v>26</v>
      </c>
      <c r="E3">
        <v>87</v>
      </c>
      <c r="H3">
        <v>496</v>
      </c>
    </row>
    <row r="4" spans="1:18" x14ac:dyDescent="0.3">
      <c r="A4" s="1">
        <v>45981</v>
      </c>
      <c r="B4">
        <v>0</v>
      </c>
      <c r="C4" s="51">
        <v>83000</v>
      </c>
      <c r="D4">
        <v>15</v>
      </c>
      <c r="E4">
        <v>82</v>
      </c>
      <c r="H4">
        <v>492</v>
      </c>
      <c r="I4" t="s">
        <v>283</v>
      </c>
    </row>
    <row r="5" spans="1:18" x14ac:dyDescent="0.3">
      <c r="A5" s="1">
        <v>45982</v>
      </c>
      <c r="B5">
        <v>2</v>
      </c>
      <c r="C5" s="51">
        <v>66000</v>
      </c>
      <c r="D5">
        <v>19</v>
      </c>
      <c r="E5">
        <v>89</v>
      </c>
      <c r="H5">
        <v>520</v>
      </c>
    </row>
    <row r="6" spans="1:18" x14ac:dyDescent="0.3">
      <c r="A6" s="1">
        <v>45983</v>
      </c>
      <c r="B6">
        <v>0</v>
      </c>
      <c r="C6" s="51">
        <v>74000</v>
      </c>
      <c r="D6">
        <v>9</v>
      </c>
      <c r="E6">
        <v>94</v>
      </c>
      <c r="H6">
        <v>487</v>
      </c>
      <c r="I6" t="s">
        <v>284</v>
      </c>
    </row>
    <row r="7" spans="1:18" x14ac:dyDescent="0.3">
      <c r="A7" s="1">
        <v>45984</v>
      </c>
      <c r="B7">
        <v>0</v>
      </c>
      <c r="C7" s="51">
        <v>102000</v>
      </c>
      <c r="D7">
        <v>12</v>
      </c>
      <c r="E7">
        <v>41</v>
      </c>
      <c r="H7">
        <v>550</v>
      </c>
    </row>
    <row r="8" spans="1:18" x14ac:dyDescent="0.3">
      <c r="A8" s="1">
        <v>45985</v>
      </c>
      <c r="B8">
        <v>0</v>
      </c>
      <c r="C8" s="51">
        <v>131000</v>
      </c>
      <c r="D8">
        <v>26</v>
      </c>
      <c r="E8">
        <v>93</v>
      </c>
      <c r="H8">
        <v>535</v>
      </c>
    </row>
    <row r="9" spans="1:18" x14ac:dyDescent="0.3">
      <c r="A9" s="1">
        <v>45986</v>
      </c>
      <c r="B9">
        <v>0</v>
      </c>
      <c r="C9" s="51">
        <v>141000</v>
      </c>
      <c r="D9">
        <v>37</v>
      </c>
      <c r="E9">
        <v>88</v>
      </c>
      <c r="H9">
        <v>525</v>
      </c>
      <c r="I9" t="s">
        <v>285</v>
      </c>
    </row>
    <row r="10" spans="1:18" x14ac:dyDescent="0.3">
      <c r="A10" s="1">
        <v>45987</v>
      </c>
      <c r="B10">
        <v>1</v>
      </c>
      <c r="C10" s="51">
        <v>80000</v>
      </c>
      <c r="D10">
        <v>13</v>
      </c>
      <c r="E10">
        <v>110</v>
      </c>
      <c r="H10">
        <v>526</v>
      </c>
    </row>
    <row r="11" spans="1:18" x14ac:dyDescent="0.3">
      <c r="A11" s="1">
        <v>45988</v>
      </c>
      <c r="B11">
        <v>0</v>
      </c>
      <c r="C11" s="51">
        <v>63000</v>
      </c>
      <c r="D11">
        <v>5</v>
      </c>
      <c r="E11">
        <v>93</v>
      </c>
      <c r="H11">
        <v>480</v>
      </c>
    </row>
    <row r="12" spans="1:18" x14ac:dyDescent="0.3">
      <c r="A12" s="1">
        <v>45992</v>
      </c>
      <c r="B12">
        <v>0</v>
      </c>
      <c r="C12" s="51">
        <v>0</v>
      </c>
      <c r="D12">
        <v>0</v>
      </c>
      <c r="E12">
        <v>0</v>
      </c>
      <c r="H12">
        <v>505</v>
      </c>
    </row>
    <row r="13" spans="1:18" x14ac:dyDescent="0.3">
      <c r="A13" s="1">
        <v>45993</v>
      </c>
      <c r="B13">
        <v>1</v>
      </c>
      <c r="C13" s="51">
        <v>2000</v>
      </c>
      <c r="D13">
        <v>6</v>
      </c>
      <c r="E13">
        <v>100</v>
      </c>
      <c r="H13">
        <v>503</v>
      </c>
    </row>
    <row r="14" spans="1:18" x14ac:dyDescent="0.3">
      <c r="A14" s="1">
        <v>45994</v>
      </c>
      <c r="B14">
        <v>0</v>
      </c>
      <c r="C14" s="51">
        <v>2500</v>
      </c>
      <c r="D14">
        <v>3</v>
      </c>
      <c r="E14">
        <v>105</v>
      </c>
      <c r="H14">
        <v>450</v>
      </c>
      <c r="N14" s="2"/>
    </row>
    <row r="15" spans="1:18" x14ac:dyDescent="0.3">
      <c r="A15" s="1">
        <v>45995</v>
      </c>
      <c r="B15">
        <v>0</v>
      </c>
      <c r="C15" s="51">
        <v>1400</v>
      </c>
      <c r="D15">
        <v>16</v>
      </c>
      <c r="E15">
        <v>83</v>
      </c>
      <c r="H15">
        <v>510</v>
      </c>
    </row>
    <row r="16" spans="1:18" x14ac:dyDescent="0.3">
      <c r="A16" s="1">
        <v>45996</v>
      </c>
      <c r="B16">
        <v>0</v>
      </c>
      <c r="C16" s="51">
        <v>2500</v>
      </c>
      <c r="D16">
        <v>13</v>
      </c>
      <c r="E16">
        <v>87</v>
      </c>
      <c r="H16">
        <v>500</v>
      </c>
    </row>
    <row r="17" spans="1:9" x14ac:dyDescent="0.3">
      <c r="A17" s="1">
        <v>45997</v>
      </c>
      <c r="B17">
        <v>0</v>
      </c>
      <c r="C17" s="51">
        <v>3000</v>
      </c>
      <c r="D17">
        <v>7</v>
      </c>
      <c r="E17">
        <v>23</v>
      </c>
      <c r="H17">
        <v>500</v>
      </c>
      <c r="I17" t="s">
        <v>286</v>
      </c>
    </row>
    <row r="18" spans="1:9" x14ac:dyDescent="0.3">
      <c r="A18" s="1">
        <v>45998</v>
      </c>
      <c r="B18">
        <v>0</v>
      </c>
      <c r="C18" s="51">
        <v>0</v>
      </c>
      <c r="D18">
        <v>0</v>
      </c>
      <c r="E18">
        <v>30</v>
      </c>
      <c r="H18">
        <v>501</v>
      </c>
      <c r="I18" t="s">
        <v>287</v>
      </c>
    </row>
    <row r="19" spans="1:9" x14ac:dyDescent="0.3">
      <c r="A19" s="1">
        <v>45999</v>
      </c>
      <c r="B19">
        <v>0</v>
      </c>
      <c r="C19" s="51">
        <v>17000</v>
      </c>
      <c r="D19">
        <v>0</v>
      </c>
      <c r="E19">
        <v>0</v>
      </c>
      <c r="H19">
        <v>500</v>
      </c>
    </row>
    <row r="20" spans="1:9" x14ac:dyDescent="0.3">
      <c r="A20" s="1">
        <v>46000</v>
      </c>
      <c r="B20">
        <v>0</v>
      </c>
      <c r="C20" s="51">
        <v>34000</v>
      </c>
      <c r="D20">
        <v>3</v>
      </c>
      <c r="E20">
        <v>96</v>
      </c>
      <c r="H20">
        <v>510</v>
      </c>
      <c r="I20" t="s">
        <v>288</v>
      </c>
    </row>
    <row r="21" spans="1:9" x14ac:dyDescent="0.3">
      <c r="A21" s="1">
        <v>46001</v>
      </c>
      <c r="B21">
        <v>0</v>
      </c>
      <c r="C21" s="51">
        <v>0</v>
      </c>
      <c r="D21">
        <v>26</v>
      </c>
      <c r="E21">
        <v>120</v>
      </c>
      <c r="H21">
        <v>505</v>
      </c>
      <c r="I21" t="s">
        <v>289</v>
      </c>
    </row>
    <row r="22" spans="1:9" x14ac:dyDescent="0.3">
      <c r="A22" s="1">
        <v>46002</v>
      </c>
      <c r="B22">
        <v>0</v>
      </c>
      <c r="C22" s="51">
        <v>37000</v>
      </c>
      <c r="D22">
        <v>6</v>
      </c>
      <c r="E22">
        <v>69</v>
      </c>
      <c r="H22">
        <v>500</v>
      </c>
    </row>
    <row r="23" spans="1:9" x14ac:dyDescent="0.3">
      <c r="A23" s="1">
        <v>46003</v>
      </c>
      <c r="B23">
        <v>0</v>
      </c>
      <c r="C23" s="51">
        <v>37000</v>
      </c>
      <c r="D23">
        <v>13</v>
      </c>
      <c r="E23">
        <v>93</v>
      </c>
      <c r="H23">
        <v>515</v>
      </c>
    </row>
    <row r="24" spans="1:9" x14ac:dyDescent="0.3">
      <c r="A24" s="1">
        <v>46004</v>
      </c>
      <c r="B24">
        <v>0</v>
      </c>
      <c r="C24" s="51">
        <v>34000</v>
      </c>
      <c r="D24">
        <v>3</v>
      </c>
      <c r="E24">
        <v>8</v>
      </c>
      <c r="H24">
        <v>510</v>
      </c>
    </row>
    <row r="25" spans="1:9" x14ac:dyDescent="0.3">
      <c r="A25" s="1">
        <v>46005</v>
      </c>
      <c r="B25">
        <v>0</v>
      </c>
      <c r="C25" s="51">
        <v>47000</v>
      </c>
      <c r="D25">
        <v>0</v>
      </c>
      <c r="E25">
        <v>0</v>
      </c>
      <c r="H25">
        <v>515</v>
      </c>
      <c r="I25" t="s">
        <v>290</v>
      </c>
    </row>
    <row r="26" spans="1:9" x14ac:dyDescent="0.3">
      <c r="A26" s="1">
        <v>46006</v>
      </c>
      <c r="B26">
        <v>0</v>
      </c>
      <c r="C26" s="51">
        <v>69000</v>
      </c>
      <c r="D26">
        <v>32</v>
      </c>
      <c r="E26">
        <v>110</v>
      </c>
      <c r="H26">
        <v>592</v>
      </c>
    </row>
    <row r="27" spans="1:9" x14ac:dyDescent="0.3">
      <c r="A27" s="1">
        <v>46007</v>
      </c>
      <c r="B27">
        <v>0</v>
      </c>
      <c r="C27" s="51">
        <v>64000</v>
      </c>
      <c r="D27">
        <v>7</v>
      </c>
      <c r="E27">
        <v>89</v>
      </c>
      <c r="H27">
        <v>338</v>
      </c>
    </row>
    <row r="28" spans="1:9" x14ac:dyDescent="0.3">
      <c r="A28" s="1">
        <v>46008</v>
      </c>
      <c r="B28">
        <v>0</v>
      </c>
      <c r="C28" s="51">
        <v>57000</v>
      </c>
      <c r="D28">
        <v>18</v>
      </c>
      <c r="E28">
        <v>78</v>
      </c>
      <c r="H28">
        <v>387</v>
      </c>
      <c r="I28" t="s">
        <v>291</v>
      </c>
    </row>
    <row r="29" spans="1:9" x14ac:dyDescent="0.3">
      <c r="A29" s="1">
        <v>46009</v>
      </c>
      <c r="B29">
        <v>0</v>
      </c>
      <c r="C29" s="51">
        <v>57000</v>
      </c>
      <c r="D29">
        <v>18</v>
      </c>
      <c r="E29">
        <v>78</v>
      </c>
      <c r="H29">
        <v>387</v>
      </c>
      <c r="I29" t="s">
        <v>292</v>
      </c>
    </row>
    <row r="30" spans="1:9" x14ac:dyDescent="0.3">
      <c r="A30" s="1">
        <v>46010</v>
      </c>
      <c r="B30">
        <v>0</v>
      </c>
      <c r="C30" s="51">
        <v>54000</v>
      </c>
      <c r="D30">
        <v>12</v>
      </c>
      <c r="E30">
        <v>81</v>
      </c>
      <c r="H30">
        <v>365</v>
      </c>
    </row>
    <row r="31" spans="1:9" x14ac:dyDescent="0.3">
      <c r="A31" s="1">
        <v>46011</v>
      </c>
      <c r="B31">
        <v>0</v>
      </c>
      <c r="C31" s="51">
        <v>58000</v>
      </c>
      <c r="D31">
        <v>2</v>
      </c>
      <c r="E31">
        <v>89</v>
      </c>
      <c r="H31">
        <v>359</v>
      </c>
    </row>
    <row r="32" spans="1:9" x14ac:dyDescent="0.3">
      <c r="A32" s="1">
        <v>46012</v>
      </c>
      <c r="B32">
        <v>0</v>
      </c>
      <c r="C32" s="51">
        <v>57000</v>
      </c>
      <c r="D32">
        <v>0</v>
      </c>
      <c r="E32">
        <v>98</v>
      </c>
      <c r="H32">
        <v>345</v>
      </c>
    </row>
    <row r="33" spans="1:17" x14ac:dyDescent="0.3">
      <c r="A33" s="1">
        <v>46013</v>
      </c>
      <c r="B33">
        <v>0</v>
      </c>
      <c r="C33" s="51">
        <v>61000</v>
      </c>
      <c r="D33">
        <v>0</v>
      </c>
      <c r="E33">
        <v>0</v>
      </c>
      <c r="H33">
        <v>453</v>
      </c>
    </row>
    <row r="34" spans="1:17" x14ac:dyDescent="0.3">
      <c r="A34" s="1">
        <v>46014</v>
      </c>
      <c r="B34">
        <v>0</v>
      </c>
      <c r="C34" s="51">
        <v>61000</v>
      </c>
      <c r="D34">
        <v>20</v>
      </c>
      <c r="E34">
        <v>105</v>
      </c>
      <c r="H34">
        <v>681</v>
      </c>
      <c r="I34" t="s">
        <v>293</v>
      </c>
    </row>
    <row r="35" spans="1:17" x14ac:dyDescent="0.3">
      <c r="A35" s="1">
        <v>46015</v>
      </c>
      <c r="B35">
        <v>0</v>
      </c>
      <c r="C35" s="51">
        <v>54000</v>
      </c>
      <c r="D35">
        <v>7</v>
      </c>
      <c r="E35">
        <v>78</v>
      </c>
      <c r="H35">
        <v>455</v>
      </c>
    </row>
    <row r="36" spans="1:17" x14ac:dyDescent="0.3">
      <c r="A36" s="1">
        <v>46019</v>
      </c>
      <c r="B36">
        <v>0</v>
      </c>
      <c r="C36" s="51">
        <v>58000</v>
      </c>
      <c r="D36">
        <v>3</v>
      </c>
      <c r="E36">
        <v>20</v>
      </c>
      <c r="H36">
        <v>439</v>
      </c>
    </row>
    <row r="37" spans="1:17" x14ac:dyDescent="0.3">
      <c r="A37" s="1">
        <v>46020</v>
      </c>
      <c r="B37">
        <v>0</v>
      </c>
      <c r="C37" s="51">
        <v>64000</v>
      </c>
      <c r="D37">
        <v>9</v>
      </c>
      <c r="E37">
        <v>109</v>
      </c>
      <c r="H37">
        <v>399</v>
      </c>
      <c r="I37" t="s">
        <v>294</v>
      </c>
    </row>
    <row r="38" spans="1:17" x14ac:dyDescent="0.3">
      <c r="A38" s="24">
        <v>46021</v>
      </c>
      <c r="B38" s="25">
        <v>0</v>
      </c>
      <c r="C38" s="52">
        <v>67000</v>
      </c>
      <c r="D38" s="25">
        <v>5</v>
      </c>
      <c r="E38" s="25">
        <v>102</v>
      </c>
      <c r="G38" s="26"/>
      <c r="H38" s="26">
        <v>467</v>
      </c>
      <c r="I38" s="27"/>
      <c r="J38" s="81"/>
      <c r="K38" s="81"/>
      <c r="L38" s="81"/>
      <c r="M38" s="81"/>
      <c r="N38" s="81"/>
      <c r="O38" s="81"/>
      <c r="P38" s="81"/>
      <c r="Q38" s="81"/>
    </row>
    <row r="39" spans="1:17" x14ac:dyDescent="0.3">
      <c r="A39" s="24">
        <v>46026</v>
      </c>
      <c r="B39" s="28">
        <v>0</v>
      </c>
      <c r="C39" s="53">
        <v>0</v>
      </c>
      <c r="D39" s="28"/>
      <c r="E39" s="28"/>
      <c r="G39" s="29"/>
      <c r="H39" s="29">
        <v>388</v>
      </c>
      <c r="I39" s="30" t="s">
        <v>295</v>
      </c>
      <c r="J39" s="82"/>
      <c r="K39" s="82"/>
      <c r="L39" s="82"/>
      <c r="M39" s="82"/>
      <c r="N39" s="82"/>
      <c r="O39" s="82"/>
      <c r="P39" s="82"/>
      <c r="Q39" s="82"/>
    </row>
    <row r="40" spans="1:17" x14ac:dyDescent="0.3">
      <c r="A40" s="31">
        <v>46027</v>
      </c>
      <c r="B40" s="32">
        <v>0</v>
      </c>
      <c r="C40" s="54">
        <v>3000</v>
      </c>
      <c r="D40" s="32">
        <v>10</v>
      </c>
      <c r="E40" s="32">
        <v>103</v>
      </c>
      <c r="G40" s="33"/>
      <c r="H40" s="33">
        <v>223</v>
      </c>
      <c r="I40" s="34" t="s">
        <v>296</v>
      </c>
      <c r="J40" s="81"/>
      <c r="K40" s="81"/>
      <c r="L40" s="81"/>
      <c r="M40" s="81"/>
      <c r="N40" s="81"/>
      <c r="O40" s="81"/>
      <c r="P40" s="81"/>
      <c r="Q40" s="81"/>
    </row>
    <row r="41" spans="1:17" x14ac:dyDescent="0.3">
      <c r="A41" s="1">
        <v>46028</v>
      </c>
      <c r="B41">
        <v>0</v>
      </c>
      <c r="C41" s="51">
        <v>6000</v>
      </c>
      <c r="D41">
        <v>3</v>
      </c>
      <c r="E41">
        <v>112</v>
      </c>
      <c r="H41">
        <v>250</v>
      </c>
    </row>
    <row r="42" spans="1:17" x14ac:dyDescent="0.3">
      <c r="A42" s="1">
        <v>46029</v>
      </c>
      <c r="B42">
        <v>0</v>
      </c>
      <c r="C42" s="51">
        <v>24000</v>
      </c>
      <c r="D42">
        <v>4</v>
      </c>
      <c r="E42">
        <v>89</v>
      </c>
      <c r="H42">
        <v>403</v>
      </c>
      <c r="I42" t="s">
        <v>297</v>
      </c>
    </row>
    <row r="43" spans="1:17" x14ac:dyDescent="0.3">
      <c r="A43" s="1">
        <v>46030</v>
      </c>
      <c r="B43">
        <v>1</v>
      </c>
      <c r="C43" s="51">
        <v>46000</v>
      </c>
      <c r="D43">
        <v>19</v>
      </c>
      <c r="E43">
        <v>92</v>
      </c>
      <c r="H43">
        <v>398</v>
      </c>
    </row>
    <row r="44" spans="1:17" x14ac:dyDescent="0.3">
      <c r="A44" s="1">
        <v>46031</v>
      </c>
      <c r="B44">
        <v>0</v>
      </c>
      <c r="C44" s="51">
        <v>41000</v>
      </c>
      <c r="D44">
        <v>1</v>
      </c>
      <c r="E44">
        <v>105</v>
      </c>
      <c r="F44">
        <v>0</v>
      </c>
    </row>
    <row r="45" spans="1:17" x14ac:dyDescent="0.3">
      <c r="A45" s="1">
        <v>46034</v>
      </c>
      <c r="B45">
        <v>0</v>
      </c>
      <c r="C45" s="51">
        <v>46000</v>
      </c>
      <c r="D45">
        <v>0</v>
      </c>
      <c r="E45">
        <v>0</v>
      </c>
      <c r="F45">
        <v>0</v>
      </c>
    </row>
    <row r="46" spans="1:17" x14ac:dyDescent="0.3">
      <c r="A46" s="1">
        <v>46035</v>
      </c>
      <c r="B46">
        <v>0</v>
      </c>
      <c r="C46" s="51">
        <v>60000</v>
      </c>
      <c r="D46">
        <v>16</v>
      </c>
      <c r="E46">
        <v>98</v>
      </c>
      <c r="F46">
        <v>79</v>
      </c>
      <c r="H46">
        <v>356</v>
      </c>
    </row>
    <row r="47" spans="1:17" x14ac:dyDescent="0.3">
      <c r="A47" s="1">
        <v>46036</v>
      </c>
      <c r="B47">
        <v>3</v>
      </c>
      <c r="C47" s="51">
        <v>76000</v>
      </c>
      <c r="D47">
        <v>31</v>
      </c>
      <c r="E47">
        <v>71</v>
      </c>
      <c r="F47">
        <v>58</v>
      </c>
      <c r="H47">
        <v>347</v>
      </c>
      <c r="I47" t="s">
        <v>298</v>
      </c>
    </row>
    <row r="48" spans="1:17" x14ac:dyDescent="0.3">
      <c r="A48" s="1">
        <v>46037</v>
      </c>
      <c r="B48">
        <v>0</v>
      </c>
      <c r="C48" s="51">
        <v>74000</v>
      </c>
      <c r="D48">
        <v>44</v>
      </c>
      <c r="E48">
        <v>75</v>
      </c>
      <c r="F48">
        <v>62</v>
      </c>
      <c r="H48">
        <v>286</v>
      </c>
    </row>
    <row r="49" spans="1:9" x14ac:dyDescent="0.3">
      <c r="A49" s="1">
        <v>46038</v>
      </c>
      <c r="B49">
        <v>0</v>
      </c>
      <c r="C49" s="51">
        <v>70000</v>
      </c>
      <c r="D49">
        <v>38</v>
      </c>
      <c r="E49">
        <v>78</v>
      </c>
      <c r="F49">
        <v>32</v>
      </c>
      <c r="H49">
        <v>243</v>
      </c>
    </row>
    <row r="50" spans="1:9" x14ac:dyDescent="0.3">
      <c r="A50" s="1">
        <v>46039</v>
      </c>
      <c r="B50">
        <v>0</v>
      </c>
      <c r="C50" s="51">
        <v>75000</v>
      </c>
      <c r="D50">
        <v>23</v>
      </c>
      <c r="E50">
        <v>89</v>
      </c>
    </row>
    <row r="51" spans="1:9" x14ac:dyDescent="0.3">
      <c r="A51" s="1">
        <v>46040</v>
      </c>
      <c r="B51">
        <v>1</v>
      </c>
      <c r="C51" s="51">
        <v>72000</v>
      </c>
      <c r="D51">
        <v>22</v>
      </c>
      <c r="E51">
        <v>96</v>
      </c>
    </row>
    <row r="52" spans="1:9" x14ac:dyDescent="0.3">
      <c r="A52" s="1">
        <v>46041</v>
      </c>
      <c r="B52">
        <v>0</v>
      </c>
      <c r="C52" s="51">
        <v>67000</v>
      </c>
      <c r="D52">
        <v>1</v>
      </c>
      <c r="E52">
        <v>41</v>
      </c>
      <c r="F52">
        <v>13</v>
      </c>
      <c r="H52">
        <v>184</v>
      </c>
      <c r="I52" t="s">
        <v>299</v>
      </c>
    </row>
    <row r="53" spans="1:9" x14ac:dyDescent="0.3">
      <c r="A53" s="1">
        <v>46042</v>
      </c>
      <c r="B53">
        <v>0</v>
      </c>
      <c r="C53" s="58">
        <v>80000</v>
      </c>
      <c r="D53">
        <v>2</v>
      </c>
      <c r="E53">
        <v>131</v>
      </c>
      <c r="F53">
        <v>33</v>
      </c>
      <c r="H53">
        <v>306</v>
      </c>
    </row>
    <row r="54" spans="1:9" x14ac:dyDescent="0.3">
      <c r="A54" s="1">
        <v>46043</v>
      </c>
      <c r="B54">
        <v>0</v>
      </c>
      <c r="C54" s="58">
        <v>100000</v>
      </c>
      <c r="D54">
        <v>4</v>
      </c>
      <c r="E54">
        <v>129</v>
      </c>
      <c r="F54">
        <v>2</v>
      </c>
      <c r="H54">
        <v>320</v>
      </c>
      <c r="I54" t="s">
        <v>300</v>
      </c>
    </row>
    <row r="55" spans="1:9" x14ac:dyDescent="0.3">
      <c r="A55" s="1">
        <v>46044</v>
      </c>
      <c r="B55">
        <v>0</v>
      </c>
      <c r="D55">
        <v>9</v>
      </c>
      <c r="E55">
        <v>94</v>
      </c>
      <c r="F55">
        <v>0</v>
      </c>
      <c r="H55">
        <v>365</v>
      </c>
    </row>
    <row r="56" spans="1:9" x14ac:dyDescent="0.3">
      <c r="A56" s="1">
        <v>46045</v>
      </c>
      <c r="B56">
        <v>0</v>
      </c>
      <c r="D56">
        <v>9</v>
      </c>
      <c r="E56">
        <v>103</v>
      </c>
      <c r="F56">
        <v>3</v>
      </c>
      <c r="H56">
        <v>187</v>
      </c>
    </row>
    <row r="57" spans="1:9" x14ac:dyDescent="0.3">
      <c r="A57" s="1">
        <v>46046</v>
      </c>
      <c r="B57">
        <v>0</v>
      </c>
      <c r="D57">
        <v>2</v>
      </c>
      <c r="E57">
        <v>62</v>
      </c>
      <c r="F57">
        <v>3</v>
      </c>
      <c r="H57">
        <v>41</v>
      </c>
    </row>
    <row r="58" spans="1:9" x14ac:dyDescent="0.3">
      <c r="A58" s="1">
        <v>46048</v>
      </c>
      <c r="B58">
        <v>2</v>
      </c>
      <c r="C58" s="6">
        <v>170000</v>
      </c>
      <c r="D58">
        <v>4</v>
      </c>
      <c r="E58">
        <v>89</v>
      </c>
      <c r="F58">
        <v>2</v>
      </c>
      <c r="H58">
        <v>250</v>
      </c>
    </row>
    <row r="59" spans="1:9" x14ac:dyDescent="0.3">
      <c r="A59" s="1">
        <v>46049</v>
      </c>
      <c r="B59">
        <v>0</v>
      </c>
      <c r="D59">
        <v>9</v>
      </c>
      <c r="E59">
        <v>112</v>
      </c>
      <c r="F59">
        <v>7</v>
      </c>
      <c r="H59">
        <v>611</v>
      </c>
    </row>
    <row r="60" spans="1:9" x14ac:dyDescent="0.3">
      <c r="A60" s="1">
        <v>46050</v>
      </c>
      <c r="B60">
        <v>0</v>
      </c>
      <c r="C60" s="58">
        <v>111000</v>
      </c>
      <c r="D60">
        <v>5</v>
      </c>
      <c r="E60">
        <v>113</v>
      </c>
      <c r="F60">
        <v>6</v>
      </c>
      <c r="H60">
        <v>308</v>
      </c>
    </row>
    <row r="61" spans="1:9" x14ac:dyDescent="0.3">
      <c r="A61" s="1">
        <v>46051</v>
      </c>
      <c r="B61">
        <v>0</v>
      </c>
      <c r="C61" s="58">
        <v>144000</v>
      </c>
      <c r="D61">
        <v>1</v>
      </c>
      <c r="E61">
        <v>77</v>
      </c>
      <c r="F61">
        <v>0</v>
      </c>
      <c r="H61">
        <v>390</v>
      </c>
      <c r="I61" t="s">
        <v>301</v>
      </c>
    </row>
    <row r="62" spans="1:9" x14ac:dyDescent="0.3">
      <c r="A62" s="1">
        <v>46052</v>
      </c>
      <c r="B62">
        <v>0</v>
      </c>
      <c r="C62" s="58">
        <v>140000</v>
      </c>
      <c r="D62">
        <v>1</v>
      </c>
      <c r="E62">
        <v>102</v>
      </c>
      <c r="F62">
        <v>0</v>
      </c>
      <c r="H62">
        <v>236</v>
      </c>
    </row>
    <row r="63" spans="1:9" x14ac:dyDescent="0.3">
      <c r="A63" s="1">
        <v>46053</v>
      </c>
      <c r="B63">
        <v>0</v>
      </c>
      <c r="C63" s="6">
        <v>140000</v>
      </c>
      <c r="D63">
        <v>8</v>
      </c>
      <c r="E63">
        <v>67</v>
      </c>
      <c r="F63">
        <v>0</v>
      </c>
      <c r="H63">
        <v>32</v>
      </c>
    </row>
    <row r="65" spans="1:18" x14ac:dyDescent="0.3">
      <c r="A65" s="1">
        <v>46055</v>
      </c>
      <c r="B65">
        <v>0</v>
      </c>
      <c r="C65" s="6">
        <v>0</v>
      </c>
      <c r="D65">
        <v>0</v>
      </c>
      <c r="E65">
        <v>0</v>
      </c>
      <c r="F65">
        <v>0</v>
      </c>
      <c r="H65">
        <v>2</v>
      </c>
    </row>
    <row r="66" spans="1:18" x14ac:dyDescent="0.3">
      <c r="A66" s="1">
        <v>46056</v>
      </c>
      <c r="B66">
        <v>0</v>
      </c>
      <c r="C66" s="6">
        <v>0</v>
      </c>
      <c r="D66">
        <v>15</v>
      </c>
      <c r="E66">
        <v>128</v>
      </c>
      <c r="F66">
        <v>32</v>
      </c>
      <c r="H66">
        <v>242</v>
      </c>
      <c r="R66">
        <v>1</v>
      </c>
    </row>
    <row r="67" spans="1:18" x14ac:dyDescent="0.3">
      <c r="A67" s="1">
        <v>13184</v>
      </c>
      <c r="B67">
        <v>0</v>
      </c>
      <c r="C67" s="58">
        <v>1600</v>
      </c>
      <c r="D67">
        <v>6</v>
      </c>
      <c r="E67">
        <v>103</v>
      </c>
      <c r="F67">
        <v>25</v>
      </c>
      <c r="H67">
        <v>271</v>
      </c>
      <c r="R67">
        <v>1</v>
      </c>
    </row>
    <row r="68" spans="1:18" x14ac:dyDescent="0.3">
      <c r="A68" s="1">
        <v>46058</v>
      </c>
      <c r="B68">
        <v>0</v>
      </c>
      <c r="D68">
        <v>6</v>
      </c>
      <c r="E68">
        <v>106</v>
      </c>
      <c r="F68" t="s">
        <v>302</v>
      </c>
      <c r="H68">
        <v>307</v>
      </c>
      <c r="R68">
        <v>1</v>
      </c>
    </row>
    <row r="69" spans="1:18" x14ac:dyDescent="0.3">
      <c r="A69" s="1">
        <v>46059</v>
      </c>
      <c r="B69">
        <v>0</v>
      </c>
      <c r="C69" s="58">
        <v>3000</v>
      </c>
      <c r="D69">
        <v>3</v>
      </c>
      <c r="E69">
        <v>76</v>
      </c>
      <c r="F69">
        <v>9</v>
      </c>
      <c r="H69">
        <v>288</v>
      </c>
    </row>
    <row r="70" spans="1:18" x14ac:dyDescent="0.3">
      <c r="A70" s="1">
        <v>46062</v>
      </c>
      <c r="B70">
        <v>0</v>
      </c>
      <c r="D70">
        <v>4</v>
      </c>
      <c r="E70">
        <v>138</v>
      </c>
      <c r="F70">
        <v>13</v>
      </c>
      <c r="H70">
        <v>167</v>
      </c>
    </row>
    <row r="71" spans="1:18" x14ac:dyDescent="0.3">
      <c r="A71" s="1">
        <v>46063</v>
      </c>
      <c r="B71">
        <v>0</v>
      </c>
      <c r="C71" s="58">
        <v>28000</v>
      </c>
      <c r="D71">
        <v>9</v>
      </c>
      <c r="E71">
        <v>135</v>
      </c>
      <c r="F71">
        <v>11</v>
      </c>
      <c r="H71">
        <v>383</v>
      </c>
    </row>
    <row r="72" spans="1:18" x14ac:dyDescent="0.3">
      <c r="A72" s="1">
        <v>45699</v>
      </c>
      <c r="B72">
        <v>0</v>
      </c>
      <c r="C72" s="58">
        <v>39000</v>
      </c>
      <c r="D72">
        <v>19</v>
      </c>
      <c r="E72">
        <v>128</v>
      </c>
      <c r="F72">
        <v>2</v>
      </c>
      <c r="H72">
        <v>181</v>
      </c>
    </row>
    <row r="73" spans="1:18" x14ac:dyDescent="0.3">
      <c r="A73" s="1">
        <v>46065</v>
      </c>
      <c r="B73">
        <v>0</v>
      </c>
      <c r="D73">
        <v>1</v>
      </c>
      <c r="E73">
        <v>93</v>
      </c>
      <c r="F73">
        <v>2</v>
      </c>
      <c r="H73">
        <v>287</v>
      </c>
    </row>
    <row r="74" spans="1:18" x14ac:dyDescent="0.3">
      <c r="A74" s="1">
        <v>46066</v>
      </c>
      <c r="B74">
        <v>0</v>
      </c>
      <c r="D74">
        <v>9</v>
      </c>
      <c r="E74">
        <v>81</v>
      </c>
    </row>
    <row r="75" spans="1:18" x14ac:dyDescent="0.3">
      <c r="A75" s="1">
        <v>46069</v>
      </c>
      <c r="B75">
        <v>0</v>
      </c>
      <c r="D75">
        <v>99</v>
      </c>
      <c r="E75">
        <v>11</v>
      </c>
      <c r="F75">
        <v>16</v>
      </c>
      <c r="H75">
        <v>167</v>
      </c>
    </row>
    <row r="76" spans="1:18" x14ac:dyDescent="0.3">
      <c r="A76" s="1">
        <v>46070</v>
      </c>
      <c r="B76">
        <v>0</v>
      </c>
      <c r="C76" s="58">
        <v>50000</v>
      </c>
      <c r="D76">
        <v>4</v>
      </c>
      <c r="E76">
        <v>151</v>
      </c>
      <c r="F76">
        <v>12</v>
      </c>
      <c r="H76">
        <v>158</v>
      </c>
    </row>
    <row r="77" spans="1:18" x14ac:dyDescent="0.3">
      <c r="A77" s="1">
        <v>46071</v>
      </c>
      <c r="B77">
        <v>0</v>
      </c>
      <c r="C77" s="58">
        <v>59000</v>
      </c>
      <c r="D77">
        <v>4</v>
      </c>
      <c r="E77">
        <v>95</v>
      </c>
      <c r="F77">
        <v>7</v>
      </c>
      <c r="H77">
        <v>256</v>
      </c>
    </row>
    <row r="78" spans="1:18" x14ac:dyDescent="0.3">
      <c r="A78" s="1">
        <v>46072</v>
      </c>
      <c r="B78">
        <v>0</v>
      </c>
      <c r="C78" s="58">
        <v>70000</v>
      </c>
      <c r="D78">
        <v>0</v>
      </c>
      <c r="E78">
        <v>113</v>
      </c>
      <c r="F78">
        <v>0</v>
      </c>
      <c r="H78">
        <v>120</v>
      </c>
    </row>
    <row r="79" spans="1:18" x14ac:dyDescent="0.3">
      <c r="A79" s="1">
        <v>46076</v>
      </c>
      <c r="B79">
        <v>0</v>
      </c>
      <c r="C79" s="58">
        <v>70000</v>
      </c>
      <c r="D79">
        <v>2</v>
      </c>
      <c r="E79">
        <v>131</v>
      </c>
      <c r="F79">
        <v>73</v>
      </c>
      <c r="H79">
        <v>136</v>
      </c>
    </row>
    <row r="80" spans="1:18" x14ac:dyDescent="0.3">
      <c r="A80" s="1">
        <v>46077</v>
      </c>
      <c r="B80">
        <v>2</v>
      </c>
      <c r="C80" s="58">
        <v>64000</v>
      </c>
      <c r="D80">
        <v>6</v>
      </c>
      <c r="E80">
        <v>102</v>
      </c>
      <c r="F80">
        <v>4</v>
      </c>
      <c r="H80">
        <v>161</v>
      </c>
    </row>
    <row r="81" spans="1:9" x14ac:dyDescent="0.3">
      <c r="A81" s="1">
        <v>46078</v>
      </c>
      <c r="B81">
        <v>0</v>
      </c>
      <c r="C81" s="58">
        <v>64000</v>
      </c>
      <c r="D81">
        <v>12</v>
      </c>
      <c r="E81">
        <v>93</v>
      </c>
      <c r="F81">
        <v>1</v>
      </c>
      <c r="H81">
        <v>419</v>
      </c>
    </row>
    <row r="82" spans="1:9" x14ac:dyDescent="0.3">
      <c r="A82" s="1">
        <v>46079</v>
      </c>
      <c r="B82">
        <v>0</v>
      </c>
      <c r="C82" s="58">
        <v>63000</v>
      </c>
      <c r="D82">
        <v>6</v>
      </c>
      <c r="E82">
        <v>73</v>
      </c>
      <c r="F82">
        <v>0</v>
      </c>
      <c r="H82">
        <v>217</v>
      </c>
    </row>
    <row r="83" spans="1:9" x14ac:dyDescent="0.3">
      <c r="A83" s="1">
        <v>46080</v>
      </c>
      <c r="B83">
        <v>1</v>
      </c>
      <c r="C83" s="58">
        <v>70000</v>
      </c>
      <c r="D83">
        <v>11</v>
      </c>
      <c r="E83">
        <v>98</v>
      </c>
      <c r="F83">
        <v>0</v>
      </c>
      <c r="H83">
        <v>212</v>
      </c>
    </row>
    <row r="85" spans="1:9" x14ac:dyDescent="0.3">
      <c r="A85" s="1">
        <v>46083</v>
      </c>
      <c r="B85">
        <v>0</v>
      </c>
      <c r="C85" s="6">
        <v>0</v>
      </c>
      <c r="D85">
        <v>0</v>
      </c>
      <c r="E85">
        <v>0</v>
      </c>
      <c r="F85">
        <v>19</v>
      </c>
      <c r="H85">
        <v>206</v>
      </c>
    </row>
    <row r="86" spans="1:9" x14ac:dyDescent="0.3">
      <c r="A86" s="1">
        <v>46084</v>
      </c>
      <c r="B86">
        <v>0</v>
      </c>
      <c r="C86" s="58">
        <v>1000</v>
      </c>
      <c r="D86">
        <v>29</v>
      </c>
      <c r="E86">
        <v>87</v>
      </c>
      <c r="F86">
        <v>0</v>
      </c>
      <c r="H86">
        <v>198</v>
      </c>
    </row>
    <row r="87" spans="1:9" x14ac:dyDescent="0.3">
      <c r="A87" s="1">
        <v>46085</v>
      </c>
      <c r="B87">
        <v>0</v>
      </c>
      <c r="C87" s="58">
        <v>6000</v>
      </c>
      <c r="D87">
        <v>3</v>
      </c>
      <c r="E87">
        <v>112</v>
      </c>
      <c r="F87">
        <v>0</v>
      </c>
      <c r="H87">
        <v>302</v>
      </c>
    </row>
    <row r="88" spans="1:9" x14ac:dyDescent="0.3">
      <c r="A88" s="1">
        <v>46086</v>
      </c>
      <c r="B88">
        <v>0</v>
      </c>
      <c r="C88" s="58">
        <v>6000</v>
      </c>
      <c r="D88">
        <v>2</v>
      </c>
      <c r="E88">
        <v>143</v>
      </c>
      <c r="F88">
        <v>129</v>
      </c>
      <c r="H88">
        <v>273</v>
      </c>
    </row>
    <row r="90" spans="1:9" x14ac:dyDescent="0.3">
      <c r="A90" s="1">
        <v>46090</v>
      </c>
      <c r="B90">
        <v>0</v>
      </c>
      <c r="C90" s="58">
        <v>4000</v>
      </c>
      <c r="D90">
        <v>1</v>
      </c>
      <c r="F90">
        <v>1</v>
      </c>
      <c r="H90">
        <v>107</v>
      </c>
      <c r="I90" t="s">
        <v>303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B2F6-7952-4389-9B72-38F30BFFE905}">
  <dimension ref="A1:I96"/>
  <sheetViews>
    <sheetView workbookViewId="0">
      <pane xSplit="1" ySplit="1" topLeftCell="B96" activePane="bottomRight" state="frozen"/>
      <selection pane="topRight" activeCell="B1" sqref="B1"/>
      <selection pane="bottomLeft" activeCell="A2" sqref="A2"/>
      <selection pane="bottomRight" activeCell="A96" sqref="A96"/>
    </sheetView>
  </sheetViews>
  <sheetFormatPr defaultRowHeight="14.4" x14ac:dyDescent="0.3"/>
  <cols>
    <col min="1" max="1" width="10.5546875" bestFit="1" customWidth="1"/>
    <col min="2" max="2" width="22.33203125" bestFit="1" customWidth="1"/>
    <col min="3" max="3" width="19.5546875" bestFit="1" customWidth="1"/>
    <col min="4" max="4" width="14.33203125" bestFit="1" customWidth="1"/>
    <col min="5" max="5" width="24.88671875" bestFit="1" customWidth="1"/>
    <col min="6" max="6" width="9.109375" bestFit="1" customWidth="1"/>
    <col min="7" max="7" width="11.6640625" bestFit="1" customWidth="1"/>
    <col min="8" max="8" width="14.5546875" bestFit="1" customWidth="1"/>
    <col min="9" max="9" width="9.33203125" bestFit="1" customWidth="1"/>
  </cols>
  <sheetData>
    <row r="1" spans="1:9" x14ac:dyDescent="0.3">
      <c r="A1" s="2" t="s">
        <v>0</v>
      </c>
      <c r="B1" s="2" t="s">
        <v>304</v>
      </c>
      <c r="C1" s="2" t="s">
        <v>305</v>
      </c>
      <c r="D1" s="2" t="s">
        <v>306</v>
      </c>
      <c r="E1" s="2" t="s">
        <v>307</v>
      </c>
      <c r="F1" s="2" t="s">
        <v>308</v>
      </c>
      <c r="G1" s="2" t="s">
        <v>309</v>
      </c>
      <c r="H1" s="2" t="s">
        <v>310</v>
      </c>
      <c r="I1" s="2" t="s">
        <v>9</v>
      </c>
    </row>
    <row r="2" spans="1:9" x14ac:dyDescent="0.3">
      <c r="A2" s="1">
        <v>45971</v>
      </c>
      <c r="B2">
        <v>25</v>
      </c>
      <c r="C2">
        <v>19</v>
      </c>
      <c r="D2">
        <v>37</v>
      </c>
      <c r="E2">
        <v>2</v>
      </c>
      <c r="F2">
        <v>100</v>
      </c>
      <c r="G2">
        <v>2</v>
      </c>
      <c r="H2">
        <v>8</v>
      </c>
    </row>
    <row r="3" spans="1:9" x14ac:dyDescent="0.3">
      <c r="A3" s="1">
        <v>45972</v>
      </c>
      <c r="B3">
        <v>27</v>
      </c>
      <c r="C3">
        <v>26</v>
      </c>
      <c r="D3">
        <v>1</v>
      </c>
      <c r="E3">
        <v>0</v>
      </c>
      <c r="F3">
        <v>0</v>
      </c>
      <c r="G3">
        <v>10</v>
      </c>
      <c r="H3">
        <v>3</v>
      </c>
    </row>
    <row r="4" spans="1:9" x14ac:dyDescent="0.3">
      <c r="A4" s="1">
        <v>45973</v>
      </c>
      <c r="B4">
        <v>27</v>
      </c>
      <c r="C4">
        <v>25</v>
      </c>
      <c r="D4">
        <v>7</v>
      </c>
      <c r="E4">
        <v>2</v>
      </c>
      <c r="F4">
        <v>0</v>
      </c>
      <c r="G4">
        <v>5</v>
      </c>
      <c r="H4">
        <v>3</v>
      </c>
    </row>
    <row r="5" spans="1:9" x14ac:dyDescent="0.3">
      <c r="A5" s="1">
        <v>45974</v>
      </c>
      <c r="B5">
        <v>26</v>
      </c>
      <c r="C5">
        <v>29</v>
      </c>
      <c r="D5">
        <v>4</v>
      </c>
      <c r="E5">
        <v>0</v>
      </c>
      <c r="F5">
        <v>2</v>
      </c>
      <c r="G5">
        <v>3</v>
      </c>
      <c r="H5">
        <v>3</v>
      </c>
    </row>
    <row r="6" spans="1:9" x14ac:dyDescent="0.3">
      <c r="A6" s="1">
        <v>45975</v>
      </c>
      <c r="B6">
        <v>21</v>
      </c>
      <c r="C6">
        <v>23</v>
      </c>
      <c r="D6">
        <v>6</v>
      </c>
      <c r="E6">
        <v>0</v>
      </c>
      <c r="F6">
        <v>2</v>
      </c>
      <c r="G6">
        <v>5</v>
      </c>
      <c r="H6">
        <v>3</v>
      </c>
    </row>
    <row r="7" spans="1:9" x14ac:dyDescent="0.3">
      <c r="A7" s="1">
        <v>45976</v>
      </c>
      <c r="B7">
        <v>39</v>
      </c>
      <c r="C7">
        <v>16</v>
      </c>
      <c r="D7">
        <v>4</v>
      </c>
      <c r="E7">
        <v>0</v>
      </c>
      <c r="F7">
        <v>1</v>
      </c>
      <c r="G7">
        <v>8</v>
      </c>
      <c r="H7">
        <v>3</v>
      </c>
    </row>
    <row r="8" spans="1:9" x14ac:dyDescent="0.3">
      <c r="A8" s="1">
        <v>45977</v>
      </c>
    </row>
    <row r="9" spans="1:9" x14ac:dyDescent="0.3">
      <c r="A9" s="1">
        <v>45978</v>
      </c>
    </row>
    <row r="10" spans="1:9" x14ac:dyDescent="0.3">
      <c r="A10" s="1">
        <v>45979</v>
      </c>
    </row>
    <row r="11" spans="1:9" x14ac:dyDescent="0.3">
      <c r="A11" s="1">
        <v>45980</v>
      </c>
      <c r="B11">
        <v>27</v>
      </c>
      <c r="C11">
        <v>21</v>
      </c>
      <c r="D11">
        <v>5</v>
      </c>
      <c r="E11">
        <v>0</v>
      </c>
      <c r="F11">
        <v>1</v>
      </c>
      <c r="G11">
        <v>5</v>
      </c>
      <c r="H11">
        <v>3</v>
      </c>
    </row>
    <row r="12" spans="1:9" x14ac:dyDescent="0.3">
      <c r="A12" s="1">
        <v>45981</v>
      </c>
      <c r="B12">
        <v>23</v>
      </c>
      <c r="C12">
        <v>27</v>
      </c>
      <c r="D12">
        <v>2</v>
      </c>
      <c r="E12">
        <v>0</v>
      </c>
      <c r="F12">
        <v>1</v>
      </c>
      <c r="G12">
        <v>6</v>
      </c>
      <c r="H12">
        <v>3</v>
      </c>
    </row>
    <row r="13" spans="1:9" x14ac:dyDescent="0.3">
      <c r="A13" s="1">
        <v>45982</v>
      </c>
      <c r="B13">
        <v>22</v>
      </c>
      <c r="C13">
        <v>19</v>
      </c>
      <c r="D13">
        <v>7</v>
      </c>
      <c r="E13">
        <v>50</v>
      </c>
      <c r="F13">
        <v>2</v>
      </c>
      <c r="G13">
        <v>2</v>
      </c>
      <c r="H13">
        <v>3</v>
      </c>
    </row>
    <row r="14" spans="1:9" x14ac:dyDescent="0.3">
      <c r="A14" s="1">
        <v>45983</v>
      </c>
      <c r="B14">
        <v>8</v>
      </c>
      <c r="C14">
        <v>8</v>
      </c>
      <c r="D14">
        <v>12</v>
      </c>
      <c r="E14">
        <v>0</v>
      </c>
      <c r="F14">
        <v>3</v>
      </c>
      <c r="G14">
        <v>7</v>
      </c>
      <c r="H14">
        <v>3</v>
      </c>
    </row>
    <row r="15" spans="1:9" x14ac:dyDescent="0.3">
      <c r="A15" s="1">
        <v>45984</v>
      </c>
    </row>
    <row r="16" spans="1:9" x14ac:dyDescent="0.3">
      <c r="A16" s="1">
        <v>45985</v>
      </c>
      <c r="B16">
        <v>12</v>
      </c>
      <c r="C16">
        <v>21</v>
      </c>
      <c r="D16">
        <v>0</v>
      </c>
      <c r="E16">
        <v>0</v>
      </c>
      <c r="F16">
        <v>0</v>
      </c>
      <c r="G16">
        <v>1</v>
      </c>
      <c r="H16">
        <v>3</v>
      </c>
    </row>
    <row r="17" spans="1:8" x14ac:dyDescent="0.3">
      <c r="A17" s="1">
        <v>45986</v>
      </c>
      <c r="B17">
        <v>24</v>
      </c>
      <c r="C17">
        <v>26</v>
      </c>
      <c r="D17">
        <v>2</v>
      </c>
      <c r="E17">
        <v>0</v>
      </c>
      <c r="F17">
        <v>3</v>
      </c>
      <c r="G17">
        <v>5</v>
      </c>
      <c r="H17">
        <v>3</v>
      </c>
    </row>
    <row r="18" spans="1:8" x14ac:dyDescent="0.3">
      <c r="A18" s="1">
        <v>45987</v>
      </c>
      <c r="B18">
        <v>18</v>
      </c>
      <c r="C18">
        <v>19</v>
      </c>
      <c r="D18">
        <v>1</v>
      </c>
      <c r="E18">
        <v>0</v>
      </c>
      <c r="F18">
        <v>6</v>
      </c>
      <c r="G18">
        <v>2</v>
      </c>
      <c r="H18">
        <v>3</v>
      </c>
    </row>
    <row r="19" spans="1:8" x14ac:dyDescent="0.3">
      <c r="A19" s="1">
        <v>45988</v>
      </c>
      <c r="B19">
        <v>35</v>
      </c>
      <c r="C19">
        <v>25</v>
      </c>
      <c r="D19">
        <v>7</v>
      </c>
      <c r="E19">
        <v>0</v>
      </c>
      <c r="F19">
        <v>4</v>
      </c>
      <c r="G19">
        <v>4</v>
      </c>
      <c r="H19">
        <v>3</v>
      </c>
    </row>
    <row r="20" spans="1:8" x14ac:dyDescent="0.3">
      <c r="A20" s="1">
        <v>45989</v>
      </c>
    </row>
    <row r="21" spans="1:8" x14ac:dyDescent="0.3">
      <c r="A21" s="1">
        <v>45990</v>
      </c>
    </row>
    <row r="22" spans="1:8" x14ac:dyDescent="0.3">
      <c r="A22" s="1">
        <v>45991</v>
      </c>
      <c r="B22">
        <v>20</v>
      </c>
      <c r="C22">
        <v>18</v>
      </c>
      <c r="D22">
        <v>5</v>
      </c>
      <c r="E22">
        <v>0</v>
      </c>
      <c r="F22">
        <v>5</v>
      </c>
      <c r="G22">
        <v>5</v>
      </c>
      <c r="H22">
        <v>3</v>
      </c>
    </row>
    <row r="23" spans="1:8" x14ac:dyDescent="0.3">
      <c r="A23" s="1">
        <v>45992</v>
      </c>
      <c r="B23">
        <v>16</v>
      </c>
      <c r="C23">
        <v>17</v>
      </c>
      <c r="D23">
        <v>0</v>
      </c>
      <c r="E23">
        <v>0</v>
      </c>
      <c r="F23">
        <v>1</v>
      </c>
      <c r="G23">
        <v>9</v>
      </c>
      <c r="H23">
        <v>3</v>
      </c>
    </row>
    <row r="24" spans="1:8" x14ac:dyDescent="0.3">
      <c r="A24" s="1">
        <v>45993</v>
      </c>
      <c r="B24">
        <v>5</v>
      </c>
      <c r="C24">
        <v>5</v>
      </c>
      <c r="D24">
        <v>2</v>
      </c>
      <c r="E24">
        <v>0</v>
      </c>
      <c r="F24">
        <v>2</v>
      </c>
      <c r="G24">
        <v>4</v>
      </c>
      <c r="H24">
        <v>3</v>
      </c>
    </row>
    <row r="25" spans="1:8" x14ac:dyDescent="0.3">
      <c r="A25" s="1">
        <v>45994</v>
      </c>
    </row>
    <row r="26" spans="1:8" x14ac:dyDescent="0.3">
      <c r="A26" s="1">
        <v>45995</v>
      </c>
    </row>
    <row r="27" spans="1:8" x14ac:dyDescent="0.3">
      <c r="A27" s="1">
        <v>45996</v>
      </c>
    </row>
    <row r="28" spans="1:8" x14ac:dyDescent="0.3">
      <c r="A28" s="1">
        <v>45997</v>
      </c>
    </row>
    <row r="29" spans="1:8" x14ac:dyDescent="0.3">
      <c r="A29" s="1">
        <v>45998</v>
      </c>
    </row>
    <row r="30" spans="1:8" x14ac:dyDescent="0.3">
      <c r="A30" s="1">
        <v>45999</v>
      </c>
      <c r="B30">
        <v>26</v>
      </c>
      <c r="C30">
        <v>25</v>
      </c>
      <c r="D30">
        <v>0</v>
      </c>
      <c r="E30">
        <v>0</v>
      </c>
      <c r="F30">
        <v>2</v>
      </c>
      <c r="G30">
        <v>4</v>
      </c>
      <c r="H30">
        <v>3</v>
      </c>
    </row>
    <row r="31" spans="1:8" x14ac:dyDescent="0.3">
      <c r="A31" s="1">
        <v>46000</v>
      </c>
      <c r="B31">
        <v>20</v>
      </c>
      <c r="C31">
        <v>26</v>
      </c>
      <c r="D31">
        <v>0</v>
      </c>
      <c r="E31">
        <v>0</v>
      </c>
      <c r="F31">
        <v>0</v>
      </c>
      <c r="G31">
        <v>0</v>
      </c>
      <c r="H31">
        <v>3</v>
      </c>
    </row>
    <row r="32" spans="1:8" x14ac:dyDescent="0.3">
      <c r="A32" s="1">
        <v>46001</v>
      </c>
      <c r="B32">
        <v>23</v>
      </c>
      <c r="C32">
        <v>22</v>
      </c>
      <c r="D32">
        <v>5</v>
      </c>
      <c r="E32">
        <v>0</v>
      </c>
      <c r="F32">
        <v>0</v>
      </c>
      <c r="G32">
        <v>11</v>
      </c>
      <c r="H32">
        <v>0</v>
      </c>
    </row>
    <row r="33" spans="1:8" x14ac:dyDescent="0.3">
      <c r="A33" s="1">
        <v>46002</v>
      </c>
      <c r="E33">
        <v>2</v>
      </c>
      <c r="F33">
        <v>0</v>
      </c>
      <c r="G33">
        <v>7</v>
      </c>
    </row>
    <row r="34" spans="1:8" x14ac:dyDescent="0.3">
      <c r="A34" s="1">
        <v>46003</v>
      </c>
      <c r="B34">
        <v>23</v>
      </c>
      <c r="C34">
        <v>13</v>
      </c>
      <c r="F34">
        <v>3</v>
      </c>
      <c r="G34">
        <v>8</v>
      </c>
      <c r="H34">
        <v>0</v>
      </c>
    </row>
    <row r="35" spans="1:8" x14ac:dyDescent="0.3">
      <c r="A35" s="1">
        <v>46004</v>
      </c>
      <c r="B35">
        <v>2</v>
      </c>
      <c r="C35">
        <v>1</v>
      </c>
      <c r="D35">
        <v>2</v>
      </c>
      <c r="E35">
        <v>1</v>
      </c>
      <c r="F35">
        <v>1</v>
      </c>
      <c r="G35">
        <v>0</v>
      </c>
    </row>
    <row r="36" spans="1:8" x14ac:dyDescent="0.3">
      <c r="A36" s="1">
        <v>46006</v>
      </c>
      <c r="B36">
        <v>27</v>
      </c>
      <c r="C36">
        <v>27</v>
      </c>
      <c r="D36">
        <v>1</v>
      </c>
      <c r="E36">
        <v>0</v>
      </c>
      <c r="F36">
        <v>4</v>
      </c>
      <c r="G36">
        <v>6</v>
      </c>
      <c r="H36">
        <v>3</v>
      </c>
    </row>
    <row r="37" spans="1:8" x14ac:dyDescent="0.3">
      <c r="A37" s="1">
        <v>46007</v>
      </c>
      <c r="B37">
        <v>17</v>
      </c>
      <c r="C37">
        <v>18</v>
      </c>
      <c r="D37">
        <v>2</v>
      </c>
      <c r="E37">
        <v>0</v>
      </c>
      <c r="F37">
        <v>3</v>
      </c>
      <c r="G37">
        <v>7</v>
      </c>
      <c r="H37">
        <v>3</v>
      </c>
    </row>
    <row r="38" spans="1:8" x14ac:dyDescent="0.3">
      <c r="A38" s="1">
        <v>46020</v>
      </c>
      <c r="B38">
        <v>16</v>
      </c>
      <c r="C38">
        <v>19</v>
      </c>
      <c r="D38">
        <v>0</v>
      </c>
      <c r="E38">
        <v>0</v>
      </c>
      <c r="F38">
        <v>4</v>
      </c>
      <c r="G38">
        <v>5</v>
      </c>
      <c r="H38">
        <v>4</v>
      </c>
    </row>
    <row r="39" spans="1:8" x14ac:dyDescent="0.3">
      <c r="A39" s="20">
        <v>46026</v>
      </c>
      <c r="B39" s="21">
        <v>23</v>
      </c>
      <c r="C39" s="21">
        <v>20</v>
      </c>
      <c r="D39" s="21">
        <v>0</v>
      </c>
      <c r="E39" s="21">
        <v>0</v>
      </c>
      <c r="F39" s="21">
        <v>2</v>
      </c>
      <c r="G39" s="21">
        <v>4</v>
      </c>
      <c r="H39" s="21">
        <v>3</v>
      </c>
    </row>
    <row r="40" spans="1:8" x14ac:dyDescent="0.3">
      <c r="A40" s="20">
        <v>46027</v>
      </c>
      <c r="B40" s="21">
        <v>22</v>
      </c>
      <c r="C40" s="21">
        <v>24</v>
      </c>
      <c r="D40" s="21">
        <v>9</v>
      </c>
      <c r="E40" s="21">
        <v>0</v>
      </c>
      <c r="F40" s="21">
        <v>4</v>
      </c>
      <c r="G40" s="21">
        <v>3</v>
      </c>
      <c r="H40" s="21">
        <v>3</v>
      </c>
    </row>
    <row r="41" spans="1:8" x14ac:dyDescent="0.3">
      <c r="A41" s="1">
        <v>46028</v>
      </c>
      <c r="B41">
        <v>14</v>
      </c>
      <c r="C41">
        <v>21</v>
      </c>
      <c r="D41">
        <v>2</v>
      </c>
      <c r="E41">
        <v>0</v>
      </c>
      <c r="F41">
        <v>3</v>
      </c>
      <c r="G41">
        <v>4</v>
      </c>
      <c r="H41">
        <v>3</v>
      </c>
    </row>
    <row r="42" spans="1:8" x14ac:dyDescent="0.3">
      <c r="A42" s="1">
        <v>46029</v>
      </c>
      <c r="B42">
        <v>7</v>
      </c>
      <c r="C42">
        <v>12</v>
      </c>
      <c r="D42">
        <v>4</v>
      </c>
      <c r="E42">
        <v>3</v>
      </c>
      <c r="F42">
        <v>4</v>
      </c>
      <c r="G42">
        <v>2</v>
      </c>
    </row>
    <row r="43" spans="1:8" x14ac:dyDescent="0.3">
      <c r="A43" s="1">
        <v>46030</v>
      </c>
      <c r="B43">
        <v>13</v>
      </c>
      <c r="C43">
        <v>15</v>
      </c>
      <c r="D43">
        <v>1</v>
      </c>
      <c r="E43">
        <v>0</v>
      </c>
      <c r="F43">
        <v>0</v>
      </c>
      <c r="G43">
        <v>2</v>
      </c>
    </row>
    <row r="44" spans="1:8" x14ac:dyDescent="0.3">
      <c r="A44" s="1">
        <v>46031</v>
      </c>
      <c r="B44">
        <v>0</v>
      </c>
      <c r="C44">
        <v>5</v>
      </c>
      <c r="D44">
        <v>0</v>
      </c>
      <c r="E44">
        <v>0</v>
      </c>
      <c r="F44">
        <v>4</v>
      </c>
      <c r="G44">
        <v>3</v>
      </c>
    </row>
    <row r="45" spans="1:8" x14ac:dyDescent="0.3">
      <c r="A45" s="1">
        <v>46032</v>
      </c>
    </row>
    <row r="46" spans="1:8" x14ac:dyDescent="0.3">
      <c r="A46" s="1">
        <v>46033</v>
      </c>
    </row>
    <row r="47" spans="1:8" x14ac:dyDescent="0.3">
      <c r="A47" s="1">
        <v>46034</v>
      </c>
      <c r="B47">
        <v>23</v>
      </c>
      <c r="C47">
        <v>22</v>
      </c>
      <c r="D47">
        <v>13</v>
      </c>
      <c r="E47">
        <v>4</v>
      </c>
      <c r="F47">
        <v>7</v>
      </c>
      <c r="G47">
        <v>0</v>
      </c>
      <c r="H47">
        <v>0</v>
      </c>
    </row>
    <row r="48" spans="1:8" x14ac:dyDescent="0.3">
      <c r="A48" s="1">
        <v>46035</v>
      </c>
      <c r="B48">
        <v>24</v>
      </c>
      <c r="C48">
        <v>21</v>
      </c>
      <c r="D48">
        <v>11</v>
      </c>
      <c r="E48">
        <v>0</v>
      </c>
      <c r="F48">
        <v>2</v>
      </c>
      <c r="G48">
        <v>10</v>
      </c>
      <c r="H48">
        <v>3</v>
      </c>
    </row>
    <row r="49" spans="1:9" x14ac:dyDescent="0.3">
      <c r="A49" s="1">
        <v>46036</v>
      </c>
      <c r="B49">
        <v>23</v>
      </c>
      <c r="C49">
        <v>18</v>
      </c>
      <c r="D49">
        <v>1</v>
      </c>
      <c r="F49">
        <v>2</v>
      </c>
      <c r="G49">
        <v>3</v>
      </c>
      <c r="H49">
        <v>3</v>
      </c>
      <c r="I49">
        <v>1</v>
      </c>
    </row>
    <row r="50" spans="1:9" x14ac:dyDescent="0.3">
      <c r="A50" s="1">
        <v>46037</v>
      </c>
      <c r="B50">
        <v>16</v>
      </c>
      <c r="C50">
        <v>24</v>
      </c>
      <c r="D50">
        <v>4</v>
      </c>
      <c r="E50">
        <v>0</v>
      </c>
      <c r="F50">
        <v>6</v>
      </c>
      <c r="G50">
        <v>11</v>
      </c>
      <c r="H50">
        <v>3</v>
      </c>
      <c r="I50">
        <v>3</v>
      </c>
    </row>
    <row r="51" spans="1:9" x14ac:dyDescent="0.3">
      <c r="A51" s="1">
        <v>46038</v>
      </c>
    </row>
    <row r="52" spans="1:9" x14ac:dyDescent="0.3">
      <c r="A52" s="1">
        <v>46039</v>
      </c>
    </row>
    <row r="53" spans="1:9" x14ac:dyDescent="0.3">
      <c r="A53" s="1">
        <v>46040</v>
      </c>
    </row>
    <row r="54" spans="1:9" x14ac:dyDescent="0.3">
      <c r="A54" s="1">
        <v>46041</v>
      </c>
      <c r="B54">
        <v>19</v>
      </c>
      <c r="C54">
        <v>26</v>
      </c>
      <c r="D54">
        <v>7</v>
      </c>
      <c r="E54">
        <v>0</v>
      </c>
      <c r="F54">
        <v>3</v>
      </c>
      <c r="H54">
        <v>2</v>
      </c>
    </row>
    <row r="55" spans="1:9" x14ac:dyDescent="0.3">
      <c r="A55" s="1">
        <v>46042</v>
      </c>
    </row>
    <row r="56" spans="1:9" x14ac:dyDescent="0.3">
      <c r="A56" s="1">
        <v>46043</v>
      </c>
      <c r="B56">
        <v>29</v>
      </c>
      <c r="C56">
        <v>30</v>
      </c>
      <c r="D56">
        <v>5</v>
      </c>
      <c r="E56">
        <v>0</v>
      </c>
      <c r="F56">
        <v>1</v>
      </c>
      <c r="G56">
        <v>3</v>
      </c>
      <c r="H56">
        <v>2</v>
      </c>
    </row>
    <row r="57" spans="1:9" x14ac:dyDescent="0.3">
      <c r="A57" s="1">
        <v>46044</v>
      </c>
      <c r="B57">
        <v>18</v>
      </c>
      <c r="C57">
        <v>20</v>
      </c>
      <c r="D57">
        <v>4</v>
      </c>
      <c r="E57">
        <v>0</v>
      </c>
      <c r="F57">
        <v>2</v>
      </c>
      <c r="G57">
        <v>2</v>
      </c>
      <c r="H57">
        <v>2</v>
      </c>
    </row>
    <row r="58" spans="1:9" x14ac:dyDescent="0.3">
      <c r="A58" s="1">
        <v>46045</v>
      </c>
    </row>
    <row r="59" spans="1:9" x14ac:dyDescent="0.3">
      <c r="A59" s="1">
        <v>46046</v>
      </c>
    </row>
    <row r="60" spans="1:9" x14ac:dyDescent="0.3">
      <c r="A60" s="1">
        <v>46047</v>
      </c>
    </row>
    <row r="61" spans="1:9" x14ac:dyDescent="0.3">
      <c r="A61" s="1">
        <v>46048</v>
      </c>
      <c r="B61">
        <v>24</v>
      </c>
      <c r="C61">
        <v>24</v>
      </c>
      <c r="D61">
        <v>7</v>
      </c>
      <c r="E61">
        <v>0</v>
      </c>
      <c r="F61">
        <v>1</v>
      </c>
      <c r="G61">
        <v>12</v>
      </c>
      <c r="H61">
        <v>2</v>
      </c>
    </row>
    <row r="62" spans="1:9" x14ac:dyDescent="0.3">
      <c r="A62" s="1">
        <v>46049</v>
      </c>
      <c r="B62">
        <v>25</v>
      </c>
      <c r="C62">
        <v>23</v>
      </c>
      <c r="F62">
        <v>3</v>
      </c>
      <c r="G62">
        <v>9</v>
      </c>
      <c r="H62">
        <v>2</v>
      </c>
    </row>
    <row r="63" spans="1:9" x14ac:dyDescent="0.3">
      <c r="A63" s="1">
        <v>46050</v>
      </c>
      <c r="B63">
        <v>19</v>
      </c>
      <c r="C63">
        <v>30</v>
      </c>
      <c r="D63">
        <v>7</v>
      </c>
      <c r="E63">
        <v>0</v>
      </c>
      <c r="F63">
        <v>5</v>
      </c>
      <c r="G63">
        <v>5</v>
      </c>
      <c r="H63">
        <v>2</v>
      </c>
      <c r="I63">
        <v>4</v>
      </c>
    </row>
    <row r="64" spans="1:9" x14ac:dyDescent="0.3">
      <c r="A64" s="1">
        <v>46051</v>
      </c>
      <c r="B64">
        <v>28</v>
      </c>
      <c r="C64">
        <v>27</v>
      </c>
      <c r="D64">
        <v>10</v>
      </c>
      <c r="E64">
        <v>0</v>
      </c>
      <c r="F64">
        <v>7</v>
      </c>
      <c r="G64">
        <v>5</v>
      </c>
      <c r="H64">
        <v>2</v>
      </c>
    </row>
    <row r="65" spans="1:9" x14ac:dyDescent="0.3">
      <c r="A65" s="1">
        <v>46052</v>
      </c>
      <c r="B65">
        <v>4</v>
      </c>
      <c r="C65">
        <v>4</v>
      </c>
      <c r="D65">
        <v>0</v>
      </c>
      <c r="E65">
        <v>0</v>
      </c>
      <c r="F65">
        <v>2</v>
      </c>
      <c r="G65">
        <v>1</v>
      </c>
      <c r="H65">
        <v>2</v>
      </c>
    </row>
    <row r="66" spans="1:9" x14ac:dyDescent="0.3">
      <c r="A66" s="1">
        <v>46053</v>
      </c>
    </row>
    <row r="67" spans="1:9" x14ac:dyDescent="0.3">
      <c r="A67" s="1">
        <v>46054</v>
      </c>
    </row>
    <row r="68" spans="1:9" x14ac:dyDescent="0.3">
      <c r="A68" s="1">
        <v>46055</v>
      </c>
    </row>
    <row r="69" spans="1:9" x14ac:dyDescent="0.3">
      <c r="A69" s="1">
        <v>46056</v>
      </c>
    </row>
    <row r="70" spans="1:9" x14ac:dyDescent="0.3">
      <c r="A70" s="1">
        <v>46057</v>
      </c>
      <c r="B70">
        <v>16</v>
      </c>
      <c r="C70">
        <v>19</v>
      </c>
      <c r="D70">
        <v>5</v>
      </c>
      <c r="E70">
        <v>0</v>
      </c>
      <c r="F70">
        <v>5</v>
      </c>
      <c r="G70">
        <v>8</v>
      </c>
      <c r="H70">
        <v>2</v>
      </c>
    </row>
    <row r="71" spans="1:9" x14ac:dyDescent="0.3">
      <c r="A71" s="1">
        <v>46058</v>
      </c>
      <c r="B71">
        <v>26</v>
      </c>
      <c r="C71">
        <v>20</v>
      </c>
      <c r="D71">
        <v>6</v>
      </c>
      <c r="E71">
        <v>0</v>
      </c>
      <c r="F71">
        <v>2</v>
      </c>
      <c r="G71">
        <v>8</v>
      </c>
      <c r="H71">
        <v>2</v>
      </c>
    </row>
    <row r="72" spans="1:9" x14ac:dyDescent="0.3">
      <c r="A72" s="1">
        <v>46059</v>
      </c>
      <c r="B72">
        <v>19</v>
      </c>
      <c r="C72">
        <v>16</v>
      </c>
      <c r="D72">
        <v>2</v>
      </c>
      <c r="E72">
        <v>0</v>
      </c>
      <c r="F72">
        <v>3</v>
      </c>
      <c r="G72">
        <v>0</v>
      </c>
    </row>
    <row r="73" spans="1:9" x14ac:dyDescent="0.3">
      <c r="A73" s="1">
        <v>46062</v>
      </c>
      <c r="B73">
        <v>23</v>
      </c>
      <c r="C73">
        <v>26</v>
      </c>
      <c r="D73">
        <v>7</v>
      </c>
      <c r="E73">
        <v>0</v>
      </c>
      <c r="F73">
        <v>6</v>
      </c>
      <c r="G73">
        <v>5</v>
      </c>
      <c r="H73">
        <v>2</v>
      </c>
      <c r="I73">
        <v>1</v>
      </c>
    </row>
    <row r="74" spans="1:9" x14ac:dyDescent="0.3">
      <c r="A74" s="1">
        <v>46063</v>
      </c>
      <c r="B74">
        <v>23</v>
      </c>
      <c r="C74">
        <v>26</v>
      </c>
      <c r="D74">
        <v>5</v>
      </c>
      <c r="E74">
        <v>0</v>
      </c>
      <c r="F74">
        <v>4</v>
      </c>
      <c r="G74">
        <v>2</v>
      </c>
      <c r="H74">
        <v>2</v>
      </c>
      <c r="I74">
        <v>0</v>
      </c>
    </row>
    <row r="75" spans="1:9" x14ac:dyDescent="0.3">
      <c r="A75" s="1">
        <v>45333</v>
      </c>
    </row>
    <row r="76" spans="1:9" x14ac:dyDescent="0.3">
      <c r="A76" s="1">
        <v>45334</v>
      </c>
      <c r="B76">
        <v>29</v>
      </c>
      <c r="C76">
        <v>23</v>
      </c>
      <c r="D76">
        <v>9</v>
      </c>
      <c r="E76">
        <v>0</v>
      </c>
      <c r="F76">
        <v>3</v>
      </c>
      <c r="G76">
        <v>2</v>
      </c>
      <c r="H76">
        <v>2</v>
      </c>
      <c r="I76">
        <v>0</v>
      </c>
    </row>
    <row r="77" spans="1:9" x14ac:dyDescent="0.3">
      <c r="A77" s="1">
        <v>45335</v>
      </c>
    </row>
    <row r="78" spans="1:9" x14ac:dyDescent="0.3">
      <c r="A78" s="1">
        <v>45336</v>
      </c>
    </row>
    <row r="79" spans="1:9" x14ac:dyDescent="0.3">
      <c r="A79" s="1">
        <v>45337</v>
      </c>
    </row>
    <row r="80" spans="1:9" x14ac:dyDescent="0.3">
      <c r="A80" s="1">
        <v>45338</v>
      </c>
    </row>
    <row r="81" spans="1:9" x14ac:dyDescent="0.3">
      <c r="A81" s="1">
        <v>45339</v>
      </c>
      <c r="B81">
        <v>20</v>
      </c>
      <c r="C81">
        <v>24</v>
      </c>
      <c r="D81">
        <v>5</v>
      </c>
      <c r="E81">
        <v>0</v>
      </c>
      <c r="F81">
        <v>4</v>
      </c>
      <c r="G81">
        <v>4</v>
      </c>
      <c r="H81">
        <v>2</v>
      </c>
      <c r="I81">
        <v>0</v>
      </c>
    </row>
    <row r="82" spans="1:9" x14ac:dyDescent="0.3">
      <c r="A82" s="1">
        <v>45340</v>
      </c>
    </row>
    <row r="83" spans="1:9" x14ac:dyDescent="0.3">
      <c r="A83" s="1">
        <v>45341</v>
      </c>
    </row>
    <row r="84" spans="1:9" x14ac:dyDescent="0.3">
      <c r="A84" s="1">
        <v>45342</v>
      </c>
    </row>
    <row r="85" spans="1:9" x14ac:dyDescent="0.3">
      <c r="A85" s="1">
        <v>45343</v>
      </c>
    </row>
    <row r="86" spans="1:9" x14ac:dyDescent="0.3">
      <c r="A86" s="1">
        <v>45344</v>
      </c>
    </row>
    <row r="87" spans="1:9" x14ac:dyDescent="0.3">
      <c r="A87" s="1">
        <v>45345</v>
      </c>
      <c r="B87">
        <v>24</v>
      </c>
      <c r="C87">
        <v>29</v>
      </c>
      <c r="D87">
        <v>5</v>
      </c>
      <c r="E87">
        <v>0</v>
      </c>
      <c r="F87">
        <v>6</v>
      </c>
      <c r="G87">
        <v>11</v>
      </c>
      <c r="H87">
        <v>1</v>
      </c>
      <c r="I87">
        <v>0</v>
      </c>
    </row>
    <row r="88" spans="1:9" x14ac:dyDescent="0.3">
      <c r="A88" s="1">
        <v>45346</v>
      </c>
      <c r="B88">
        <v>27</v>
      </c>
      <c r="C88">
        <v>21</v>
      </c>
      <c r="D88">
        <v>5</v>
      </c>
      <c r="E88">
        <v>0</v>
      </c>
      <c r="F88">
        <v>5</v>
      </c>
      <c r="G88">
        <v>11</v>
      </c>
      <c r="H88">
        <v>1</v>
      </c>
      <c r="I88">
        <v>0</v>
      </c>
    </row>
    <row r="89" spans="1:9" x14ac:dyDescent="0.3">
      <c r="A89" s="1">
        <v>45347</v>
      </c>
      <c r="B89">
        <v>16</v>
      </c>
      <c r="C89">
        <v>20</v>
      </c>
      <c r="D89">
        <v>10</v>
      </c>
      <c r="E89">
        <v>0</v>
      </c>
      <c r="F89">
        <v>4</v>
      </c>
      <c r="G89">
        <v>6</v>
      </c>
      <c r="H89">
        <v>1</v>
      </c>
      <c r="I89">
        <v>0</v>
      </c>
    </row>
    <row r="90" spans="1:9" x14ac:dyDescent="0.3">
      <c r="A90" s="1">
        <v>45348</v>
      </c>
      <c r="B90">
        <v>28</v>
      </c>
      <c r="C90">
        <v>17</v>
      </c>
      <c r="D90">
        <v>14</v>
      </c>
      <c r="E90">
        <v>5</v>
      </c>
      <c r="F90">
        <v>4</v>
      </c>
      <c r="G90">
        <v>5</v>
      </c>
      <c r="H90">
        <v>1</v>
      </c>
      <c r="I90">
        <v>0</v>
      </c>
    </row>
    <row r="91" spans="1:9" x14ac:dyDescent="0.3">
      <c r="A91" s="1">
        <v>45349</v>
      </c>
    </row>
    <row r="92" spans="1:9" x14ac:dyDescent="0.3">
      <c r="A92" s="1">
        <v>45350</v>
      </c>
    </row>
    <row r="93" spans="1:9" x14ac:dyDescent="0.3">
      <c r="A93" s="1">
        <v>45351</v>
      </c>
    </row>
    <row r="94" spans="1:9" x14ac:dyDescent="0.3">
      <c r="A94" s="1">
        <v>45352</v>
      </c>
    </row>
    <row r="95" spans="1:9" x14ac:dyDescent="0.3">
      <c r="A95" s="1">
        <v>45353</v>
      </c>
      <c r="B95">
        <v>24</v>
      </c>
      <c r="C95">
        <v>25</v>
      </c>
      <c r="D95">
        <v>9</v>
      </c>
      <c r="E95">
        <v>0</v>
      </c>
      <c r="F95">
        <v>5</v>
      </c>
      <c r="G95">
        <v>10</v>
      </c>
      <c r="H95">
        <v>1</v>
      </c>
      <c r="I95">
        <v>0</v>
      </c>
    </row>
    <row r="96" spans="1:9" x14ac:dyDescent="0.3">
      <c r="A9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B8B0-3CA9-45B9-8A7B-875FC8B24CE5}">
  <dimension ref="A1:F84"/>
  <sheetViews>
    <sheetView workbookViewId="0">
      <pane ySplit="35" topLeftCell="A65" activePane="bottomLeft" state="frozen"/>
      <selection pane="bottomLeft" activeCell="B84" sqref="B84"/>
    </sheetView>
  </sheetViews>
  <sheetFormatPr defaultRowHeight="14.4" x14ac:dyDescent="0.3"/>
  <cols>
    <col min="1" max="1" width="10.5546875" bestFit="1" customWidth="1"/>
    <col min="3" max="3" width="10.44140625" bestFit="1" customWidth="1"/>
    <col min="5" max="5" width="20.6640625" bestFit="1" customWidth="1"/>
    <col min="6" max="6" width="9.33203125" bestFit="1" customWidth="1"/>
  </cols>
  <sheetData>
    <row r="1" spans="1:6" x14ac:dyDescent="0.3">
      <c r="A1" s="2" t="s">
        <v>0</v>
      </c>
      <c r="B1" s="2" t="s">
        <v>311</v>
      </c>
      <c r="C1" s="2" t="s">
        <v>312</v>
      </c>
      <c r="D1" s="2" t="s">
        <v>313</v>
      </c>
      <c r="E1" s="2" t="s">
        <v>314</v>
      </c>
      <c r="F1" s="2" t="s">
        <v>9</v>
      </c>
    </row>
    <row r="2" spans="1:6" hidden="1" x14ac:dyDescent="0.3">
      <c r="A2" s="40">
        <v>45969</v>
      </c>
      <c r="B2" s="41"/>
      <c r="C2" s="41"/>
      <c r="D2" s="41"/>
      <c r="E2" s="41"/>
      <c r="F2" s="41"/>
    </row>
    <row r="3" spans="1:6" hidden="1" x14ac:dyDescent="0.3">
      <c r="A3" s="40">
        <v>45970</v>
      </c>
      <c r="B3" s="41"/>
      <c r="C3" s="41"/>
      <c r="D3" s="41"/>
      <c r="E3" s="41"/>
      <c r="F3" s="41"/>
    </row>
    <row r="4" spans="1:6" hidden="1" x14ac:dyDescent="0.3">
      <c r="A4" s="40">
        <v>45971</v>
      </c>
      <c r="B4" s="41">
        <v>2</v>
      </c>
      <c r="C4" s="41">
        <v>0</v>
      </c>
      <c r="D4" s="41">
        <v>1.07</v>
      </c>
      <c r="E4" s="41">
        <v>1</v>
      </c>
      <c r="F4" s="41"/>
    </row>
    <row r="5" spans="1:6" hidden="1" x14ac:dyDescent="0.3">
      <c r="A5" s="40">
        <v>45972</v>
      </c>
      <c r="B5" s="41">
        <v>0</v>
      </c>
      <c r="C5" s="41">
        <v>0</v>
      </c>
      <c r="D5" s="41">
        <v>1.07</v>
      </c>
      <c r="E5" s="41">
        <v>0</v>
      </c>
      <c r="F5" s="41"/>
    </row>
    <row r="6" spans="1:6" hidden="1" x14ac:dyDescent="0.3">
      <c r="A6" s="40">
        <v>45973</v>
      </c>
      <c r="B6" s="41">
        <v>8</v>
      </c>
      <c r="C6" s="41">
        <v>1</v>
      </c>
      <c r="D6" s="41">
        <v>1.07</v>
      </c>
      <c r="E6" s="41">
        <v>1</v>
      </c>
      <c r="F6" s="41"/>
    </row>
    <row r="7" spans="1:6" hidden="1" x14ac:dyDescent="0.3">
      <c r="A7" s="40">
        <v>45974</v>
      </c>
      <c r="B7" s="41">
        <v>3</v>
      </c>
      <c r="C7" s="41">
        <v>0</v>
      </c>
      <c r="D7" s="41">
        <v>1.07</v>
      </c>
      <c r="E7" s="41">
        <v>1</v>
      </c>
      <c r="F7" s="41"/>
    </row>
    <row r="8" spans="1:6" hidden="1" x14ac:dyDescent="0.3">
      <c r="A8" s="40">
        <v>45975</v>
      </c>
      <c r="B8" s="41">
        <v>4</v>
      </c>
      <c r="C8" s="41">
        <v>0</v>
      </c>
      <c r="D8" s="41">
        <v>1.05</v>
      </c>
      <c r="E8" s="41">
        <v>1</v>
      </c>
      <c r="F8" s="41"/>
    </row>
    <row r="9" spans="1:6" hidden="1" x14ac:dyDescent="0.3">
      <c r="A9" s="40">
        <v>45978</v>
      </c>
      <c r="B9" s="41">
        <v>7</v>
      </c>
      <c r="C9" s="41">
        <v>0</v>
      </c>
      <c r="D9" s="41">
        <v>1.05</v>
      </c>
      <c r="E9" s="41">
        <v>0</v>
      </c>
      <c r="F9" s="41"/>
    </row>
    <row r="10" spans="1:6" hidden="1" x14ac:dyDescent="0.3">
      <c r="A10" s="40">
        <v>45979</v>
      </c>
      <c r="B10" s="41">
        <v>6</v>
      </c>
      <c r="C10" s="41">
        <v>0</v>
      </c>
      <c r="D10" s="41">
        <v>1.05</v>
      </c>
      <c r="E10" s="41">
        <v>0</v>
      </c>
      <c r="F10" s="41"/>
    </row>
    <row r="11" spans="1:6" hidden="1" x14ac:dyDescent="0.3">
      <c r="A11" s="40">
        <v>45980</v>
      </c>
      <c r="B11" s="41">
        <v>4</v>
      </c>
      <c r="C11" s="41">
        <v>0</v>
      </c>
      <c r="D11" s="41">
        <v>1.05</v>
      </c>
      <c r="E11" s="41">
        <v>0</v>
      </c>
      <c r="F11" s="41"/>
    </row>
    <row r="12" spans="1:6" hidden="1" x14ac:dyDescent="0.3">
      <c r="A12" s="40">
        <v>45981</v>
      </c>
      <c r="B12" s="41">
        <v>3</v>
      </c>
      <c r="C12" s="41">
        <v>0</v>
      </c>
      <c r="D12" s="41">
        <v>1.03</v>
      </c>
      <c r="E12" s="41">
        <v>1</v>
      </c>
      <c r="F12" s="41"/>
    </row>
    <row r="13" spans="1:6" hidden="1" x14ac:dyDescent="0.3">
      <c r="A13" s="40">
        <v>45982</v>
      </c>
      <c r="B13" s="41">
        <v>5</v>
      </c>
      <c r="C13" s="41">
        <v>0</v>
      </c>
      <c r="D13" s="41">
        <v>1.03</v>
      </c>
      <c r="E13" s="41">
        <v>1</v>
      </c>
      <c r="F13" s="41"/>
    </row>
    <row r="14" spans="1:6" hidden="1" x14ac:dyDescent="0.3">
      <c r="A14" s="40">
        <v>45983</v>
      </c>
      <c r="B14" s="41">
        <v>1</v>
      </c>
      <c r="C14" s="41">
        <v>0</v>
      </c>
      <c r="D14" s="41">
        <v>1.03</v>
      </c>
      <c r="E14" s="41">
        <v>0</v>
      </c>
      <c r="F14" s="41"/>
    </row>
    <row r="15" spans="1:6" hidden="1" x14ac:dyDescent="0.3">
      <c r="A15" s="40">
        <v>45984</v>
      </c>
      <c r="B15" s="41">
        <v>2</v>
      </c>
      <c r="C15" s="41">
        <v>0</v>
      </c>
      <c r="D15" s="41">
        <v>1.03</v>
      </c>
      <c r="E15" s="41">
        <v>0</v>
      </c>
      <c r="F15" s="41"/>
    </row>
    <row r="16" spans="1:6" hidden="1" x14ac:dyDescent="0.3">
      <c r="A16" s="40">
        <v>45985</v>
      </c>
      <c r="B16" s="41">
        <v>1</v>
      </c>
      <c r="C16" s="41">
        <v>0</v>
      </c>
      <c r="D16" s="41">
        <v>1.03</v>
      </c>
      <c r="E16" s="41">
        <v>1</v>
      </c>
      <c r="F16" s="41"/>
    </row>
    <row r="17" spans="1:6" hidden="1" x14ac:dyDescent="0.3">
      <c r="A17" s="40">
        <v>45986</v>
      </c>
      <c r="B17" s="41">
        <v>3</v>
      </c>
      <c r="C17" s="41">
        <v>0</v>
      </c>
      <c r="D17" s="41">
        <v>1.03</v>
      </c>
      <c r="E17" s="41">
        <v>0</v>
      </c>
      <c r="F17" s="41"/>
    </row>
    <row r="18" spans="1:6" hidden="1" x14ac:dyDescent="0.3">
      <c r="A18" s="40">
        <v>45987</v>
      </c>
      <c r="B18" s="41">
        <v>3</v>
      </c>
      <c r="C18" s="41">
        <v>0</v>
      </c>
      <c r="D18" s="41">
        <v>1.03</v>
      </c>
      <c r="E18" s="41">
        <v>1</v>
      </c>
      <c r="F18" s="41"/>
    </row>
    <row r="19" spans="1:6" hidden="1" x14ac:dyDescent="0.3">
      <c r="A19" s="40">
        <v>45989</v>
      </c>
      <c r="B19" s="41">
        <v>2</v>
      </c>
      <c r="C19" s="41">
        <v>0</v>
      </c>
      <c r="D19" s="41">
        <v>1</v>
      </c>
      <c r="E19" s="41">
        <v>0</v>
      </c>
      <c r="F19" s="41"/>
    </row>
    <row r="20" spans="1:6" hidden="1" x14ac:dyDescent="0.3">
      <c r="A20" s="40">
        <v>45992</v>
      </c>
      <c r="B20" s="41">
        <v>2</v>
      </c>
      <c r="C20" s="41">
        <v>0</v>
      </c>
      <c r="D20" s="41">
        <v>1</v>
      </c>
      <c r="E20" s="41">
        <v>0</v>
      </c>
      <c r="F20" s="41"/>
    </row>
    <row r="21" spans="1:6" hidden="1" x14ac:dyDescent="0.3">
      <c r="A21" s="40">
        <v>45993</v>
      </c>
      <c r="B21" s="41">
        <v>5</v>
      </c>
      <c r="C21" s="41">
        <v>0</v>
      </c>
      <c r="D21" s="41">
        <v>1</v>
      </c>
      <c r="E21" s="41">
        <v>0</v>
      </c>
      <c r="F21" s="41"/>
    </row>
    <row r="22" spans="1:6" hidden="1" x14ac:dyDescent="0.3">
      <c r="A22" s="40">
        <v>45994</v>
      </c>
      <c r="B22" s="41">
        <v>5</v>
      </c>
      <c r="C22" s="41">
        <v>0</v>
      </c>
      <c r="D22" s="41">
        <v>1</v>
      </c>
      <c r="E22" s="41">
        <v>0</v>
      </c>
      <c r="F22" s="41"/>
    </row>
    <row r="23" spans="1:6" hidden="1" x14ac:dyDescent="0.3">
      <c r="A23" s="40">
        <v>45995</v>
      </c>
      <c r="B23" s="41">
        <v>2</v>
      </c>
      <c r="C23" s="41">
        <v>0</v>
      </c>
      <c r="D23" s="41">
        <v>1</v>
      </c>
      <c r="E23" s="41">
        <v>0</v>
      </c>
      <c r="F23" s="41"/>
    </row>
    <row r="24" spans="1:6" hidden="1" x14ac:dyDescent="0.3">
      <c r="A24" s="40">
        <v>45996</v>
      </c>
      <c r="B24" s="41">
        <v>2</v>
      </c>
      <c r="C24" s="41">
        <v>0</v>
      </c>
      <c r="D24" s="41">
        <v>1</v>
      </c>
      <c r="E24" s="41">
        <v>1</v>
      </c>
      <c r="F24" s="41"/>
    </row>
    <row r="25" spans="1:6" hidden="1" x14ac:dyDescent="0.3">
      <c r="A25" s="40">
        <v>45999</v>
      </c>
      <c r="B25" s="41">
        <v>4</v>
      </c>
      <c r="C25" s="41">
        <v>0</v>
      </c>
      <c r="D25" s="41">
        <v>0.98</v>
      </c>
      <c r="E25" s="41">
        <v>0</v>
      </c>
      <c r="F25" s="41"/>
    </row>
    <row r="26" spans="1:6" hidden="1" x14ac:dyDescent="0.3">
      <c r="A26" s="40">
        <v>46000</v>
      </c>
      <c r="B26" s="41">
        <v>3</v>
      </c>
      <c r="C26" s="41">
        <v>0</v>
      </c>
      <c r="D26" s="41">
        <v>0.98</v>
      </c>
      <c r="E26" s="41">
        <v>3</v>
      </c>
      <c r="F26" s="41"/>
    </row>
    <row r="27" spans="1:6" hidden="1" x14ac:dyDescent="0.3">
      <c r="A27" s="40">
        <v>46001</v>
      </c>
      <c r="B27" s="41">
        <v>3</v>
      </c>
      <c r="C27" s="41">
        <v>1</v>
      </c>
      <c r="D27" s="41">
        <v>0.98</v>
      </c>
      <c r="E27" s="41">
        <v>2</v>
      </c>
      <c r="F27" s="41"/>
    </row>
    <row r="28" spans="1:6" hidden="1" x14ac:dyDescent="0.3">
      <c r="A28" s="40">
        <v>46002</v>
      </c>
      <c r="B28" s="41">
        <v>0</v>
      </c>
      <c r="C28" s="41">
        <v>0</v>
      </c>
      <c r="D28" s="41">
        <v>0.98</v>
      </c>
      <c r="E28" s="41">
        <v>0</v>
      </c>
      <c r="F28" s="41"/>
    </row>
    <row r="29" spans="1:6" hidden="1" x14ac:dyDescent="0.3">
      <c r="A29" s="40">
        <v>46003</v>
      </c>
      <c r="B29" s="41">
        <v>2</v>
      </c>
      <c r="C29" s="41">
        <v>1</v>
      </c>
      <c r="D29" s="41">
        <v>0</v>
      </c>
      <c r="E29" s="41">
        <v>0</v>
      </c>
      <c r="F29" s="41"/>
    </row>
    <row r="30" spans="1:6" hidden="1" x14ac:dyDescent="0.3">
      <c r="A30" s="40">
        <v>46004</v>
      </c>
      <c r="B30" s="41">
        <v>1</v>
      </c>
      <c r="C30" s="41">
        <v>0</v>
      </c>
      <c r="D30" s="41">
        <v>1</v>
      </c>
      <c r="E30" s="41">
        <v>0</v>
      </c>
      <c r="F30" s="41"/>
    </row>
    <row r="31" spans="1:6" hidden="1" x14ac:dyDescent="0.3">
      <c r="A31" s="40">
        <v>46004</v>
      </c>
      <c r="B31" s="41">
        <v>1</v>
      </c>
      <c r="C31" s="41">
        <v>0</v>
      </c>
      <c r="D31" s="41">
        <v>1</v>
      </c>
      <c r="E31" s="41">
        <v>0</v>
      </c>
      <c r="F31" s="41"/>
    </row>
    <row r="32" spans="1:6" hidden="1" x14ac:dyDescent="0.3">
      <c r="A32" s="40">
        <v>46006</v>
      </c>
      <c r="B32" s="41">
        <v>4</v>
      </c>
      <c r="C32" s="41">
        <v>2</v>
      </c>
      <c r="D32" s="41">
        <v>1</v>
      </c>
      <c r="E32" s="41">
        <v>0</v>
      </c>
      <c r="F32" s="41"/>
    </row>
    <row r="33" spans="1:6" hidden="1" x14ac:dyDescent="0.3">
      <c r="A33" s="40">
        <v>46007</v>
      </c>
      <c r="B33" s="41">
        <v>4</v>
      </c>
      <c r="C33" s="41">
        <v>0</v>
      </c>
      <c r="D33" s="41">
        <v>1</v>
      </c>
      <c r="E33" s="41">
        <v>1</v>
      </c>
      <c r="F33" s="41"/>
    </row>
    <row r="34" spans="1:6" hidden="1" x14ac:dyDescent="0.3">
      <c r="A34" s="40">
        <v>46008</v>
      </c>
      <c r="B34" s="41">
        <v>1</v>
      </c>
      <c r="C34" s="41">
        <v>0</v>
      </c>
      <c r="D34" s="41">
        <v>1</v>
      </c>
      <c r="E34" s="41">
        <v>0</v>
      </c>
      <c r="F34" s="41"/>
    </row>
    <row r="35" spans="1:6" hidden="1" x14ac:dyDescent="0.3">
      <c r="A35" s="40">
        <v>46012</v>
      </c>
      <c r="B35" s="41">
        <v>0</v>
      </c>
      <c r="C35" s="41">
        <v>0</v>
      </c>
      <c r="D35" s="41">
        <v>0.98</v>
      </c>
      <c r="E35" s="41">
        <v>0</v>
      </c>
      <c r="F35" s="41"/>
    </row>
    <row r="36" spans="1:6" x14ac:dyDescent="0.3">
      <c r="A36" s="20">
        <v>46026</v>
      </c>
      <c r="B36" s="21">
        <v>0</v>
      </c>
      <c r="C36" s="21">
        <v>0</v>
      </c>
      <c r="D36" s="21">
        <v>0.96</v>
      </c>
      <c r="E36" s="21">
        <v>0</v>
      </c>
    </row>
    <row r="37" spans="1:6" x14ac:dyDescent="0.3">
      <c r="A37" s="20">
        <v>46027</v>
      </c>
      <c r="B37" s="21">
        <v>5</v>
      </c>
      <c r="C37" s="21">
        <v>5</v>
      </c>
      <c r="D37" s="21">
        <v>0.96</v>
      </c>
      <c r="E37" s="21">
        <v>4</v>
      </c>
    </row>
    <row r="38" spans="1:6" x14ac:dyDescent="0.3">
      <c r="A38" s="20">
        <v>46028</v>
      </c>
      <c r="B38" s="21">
        <v>7</v>
      </c>
      <c r="C38" s="21">
        <v>0</v>
      </c>
      <c r="D38" s="9">
        <v>0</v>
      </c>
      <c r="E38" s="21">
        <v>2</v>
      </c>
    </row>
    <row r="39" spans="1:6" x14ac:dyDescent="0.3">
      <c r="A39" s="1">
        <v>46029</v>
      </c>
      <c r="B39" s="21">
        <v>0</v>
      </c>
      <c r="C39" s="21">
        <v>0</v>
      </c>
      <c r="D39" s="9">
        <v>0</v>
      </c>
      <c r="E39" s="21">
        <v>1</v>
      </c>
      <c r="F39" s="21">
        <v>1</v>
      </c>
    </row>
    <row r="40" spans="1:6" x14ac:dyDescent="0.3">
      <c r="A40" s="1">
        <v>46030</v>
      </c>
      <c r="B40" s="21">
        <v>6</v>
      </c>
      <c r="C40" s="21">
        <v>2</v>
      </c>
      <c r="D40" s="9">
        <v>0</v>
      </c>
      <c r="E40" s="21">
        <v>0</v>
      </c>
      <c r="F40" s="21">
        <v>0</v>
      </c>
    </row>
    <row r="41" spans="1:6" x14ac:dyDescent="0.3">
      <c r="A41" s="1">
        <v>46031</v>
      </c>
      <c r="B41" s="21">
        <v>3</v>
      </c>
      <c r="C41" s="21">
        <v>1</v>
      </c>
      <c r="D41" s="9">
        <v>0</v>
      </c>
      <c r="E41" s="21">
        <v>0</v>
      </c>
      <c r="F41" s="21">
        <v>0</v>
      </c>
    </row>
    <row r="42" spans="1:6" x14ac:dyDescent="0.3">
      <c r="A42" s="1">
        <v>46034</v>
      </c>
      <c r="B42">
        <v>8</v>
      </c>
      <c r="C42">
        <v>8</v>
      </c>
      <c r="D42" s="9">
        <v>0</v>
      </c>
    </row>
    <row r="43" spans="1:6" x14ac:dyDescent="0.3">
      <c r="A43" s="1">
        <v>46035</v>
      </c>
      <c r="B43" s="21">
        <v>2</v>
      </c>
      <c r="C43" s="21">
        <v>1</v>
      </c>
      <c r="D43" s="9">
        <v>0</v>
      </c>
      <c r="E43" s="21">
        <v>1</v>
      </c>
      <c r="F43" s="21">
        <v>0</v>
      </c>
    </row>
    <row r="44" spans="1:6" x14ac:dyDescent="0.3">
      <c r="A44" s="1">
        <v>46036</v>
      </c>
      <c r="B44" s="21">
        <v>2</v>
      </c>
      <c r="C44" s="21">
        <v>2</v>
      </c>
      <c r="D44" s="9">
        <v>0</v>
      </c>
      <c r="E44" s="21">
        <v>0</v>
      </c>
      <c r="F44" s="21">
        <v>0</v>
      </c>
    </row>
    <row r="45" spans="1:6" x14ac:dyDescent="0.3">
      <c r="A45" s="1">
        <v>46037</v>
      </c>
      <c r="B45" s="21">
        <v>1</v>
      </c>
      <c r="C45" s="21">
        <v>0</v>
      </c>
      <c r="D45" s="9">
        <v>0</v>
      </c>
      <c r="E45" s="21">
        <v>0</v>
      </c>
      <c r="F45" s="21">
        <v>0</v>
      </c>
    </row>
    <row r="46" spans="1:6" x14ac:dyDescent="0.3">
      <c r="A46" s="1">
        <v>46038</v>
      </c>
      <c r="B46" s="21">
        <v>3</v>
      </c>
      <c r="C46" s="21">
        <v>3</v>
      </c>
      <c r="D46" s="9">
        <v>0</v>
      </c>
      <c r="E46" s="21">
        <v>2</v>
      </c>
      <c r="F46" s="21">
        <v>2</v>
      </c>
    </row>
    <row r="47" spans="1:6" x14ac:dyDescent="0.3">
      <c r="A47" s="1">
        <v>46039</v>
      </c>
      <c r="B47" s="21">
        <v>2</v>
      </c>
      <c r="C47" s="21">
        <v>0</v>
      </c>
      <c r="D47" s="9">
        <v>0</v>
      </c>
      <c r="E47" s="21">
        <v>0</v>
      </c>
      <c r="F47" s="21">
        <v>0</v>
      </c>
    </row>
    <row r="48" spans="1:6" x14ac:dyDescent="0.3">
      <c r="A48" s="1">
        <v>46040</v>
      </c>
      <c r="B48" s="21">
        <v>0</v>
      </c>
      <c r="C48" s="21">
        <v>0</v>
      </c>
      <c r="D48" s="9">
        <v>0</v>
      </c>
      <c r="E48" s="21">
        <v>0</v>
      </c>
      <c r="F48" s="21">
        <v>0</v>
      </c>
    </row>
    <row r="49" spans="1:6" x14ac:dyDescent="0.3">
      <c r="A49" s="1">
        <v>46041</v>
      </c>
      <c r="B49" s="21">
        <v>0</v>
      </c>
      <c r="C49" s="21">
        <v>0</v>
      </c>
      <c r="D49" s="9">
        <v>0</v>
      </c>
      <c r="E49" s="21">
        <v>0</v>
      </c>
      <c r="F49" s="21">
        <v>0</v>
      </c>
    </row>
    <row r="50" spans="1:6" x14ac:dyDescent="0.3">
      <c r="A50" s="1">
        <v>46042</v>
      </c>
      <c r="B50" s="21">
        <v>1</v>
      </c>
      <c r="C50" s="21">
        <v>4</v>
      </c>
      <c r="D50" s="9">
        <v>0</v>
      </c>
      <c r="E50" s="21">
        <v>0</v>
      </c>
      <c r="F50" s="21">
        <v>0</v>
      </c>
    </row>
    <row r="51" spans="1:6" x14ac:dyDescent="0.3">
      <c r="A51" s="1">
        <v>46043</v>
      </c>
      <c r="B51" s="21">
        <v>2</v>
      </c>
      <c r="C51" s="21">
        <v>3</v>
      </c>
      <c r="D51" s="9">
        <v>0</v>
      </c>
      <c r="E51" s="21">
        <v>0</v>
      </c>
      <c r="F51" s="21">
        <v>0</v>
      </c>
    </row>
    <row r="52" spans="1:6" x14ac:dyDescent="0.3">
      <c r="A52" s="1">
        <v>46044</v>
      </c>
      <c r="B52" s="21">
        <v>0</v>
      </c>
      <c r="C52" s="21">
        <v>2</v>
      </c>
      <c r="D52" s="9">
        <v>0</v>
      </c>
      <c r="E52" s="21">
        <v>0</v>
      </c>
      <c r="F52" s="21">
        <v>1</v>
      </c>
    </row>
    <row r="53" spans="1:6" x14ac:dyDescent="0.3">
      <c r="A53" s="1">
        <v>46045</v>
      </c>
      <c r="B53" s="21">
        <v>2</v>
      </c>
      <c r="C53" s="21">
        <v>1</v>
      </c>
      <c r="D53" s="9">
        <v>0</v>
      </c>
      <c r="E53" s="21">
        <v>0</v>
      </c>
      <c r="F53" s="21">
        <v>0</v>
      </c>
    </row>
    <row r="54" spans="1:6" x14ac:dyDescent="0.3">
      <c r="A54" s="1">
        <v>46046</v>
      </c>
      <c r="B54" s="21">
        <v>1</v>
      </c>
      <c r="C54" s="21">
        <v>0</v>
      </c>
      <c r="D54" s="9">
        <v>0</v>
      </c>
      <c r="E54" s="21">
        <v>0</v>
      </c>
      <c r="F54" s="21">
        <v>0</v>
      </c>
    </row>
    <row r="55" spans="1:6" x14ac:dyDescent="0.3">
      <c r="A55" s="1">
        <v>46047</v>
      </c>
      <c r="B55" s="21">
        <v>3</v>
      </c>
      <c r="C55" s="21">
        <v>0</v>
      </c>
      <c r="D55" s="9">
        <v>0</v>
      </c>
      <c r="E55" s="21">
        <v>0</v>
      </c>
      <c r="F55" s="21">
        <v>0</v>
      </c>
    </row>
    <row r="56" spans="1:6" x14ac:dyDescent="0.3">
      <c r="A56" s="1">
        <v>46048</v>
      </c>
      <c r="B56" s="21">
        <v>0</v>
      </c>
      <c r="C56" s="21">
        <v>0</v>
      </c>
      <c r="D56" s="9">
        <v>0</v>
      </c>
      <c r="E56" s="21">
        <v>0</v>
      </c>
      <c r="F56" s="21">
        <v>1</v>
      </c>
    </row>
    <row r="57" spans="1:6" x14ac:dyDescent="0.3">
      <c r="A57" s="1">
        <v>46049</v>
      </c>
      <c r="B57" s="21">
        <v>2</v>
      </c>
      <c r="C57" s="21">
        <v>0</v>
      </c>
      <c r="D57" s="9">
        <v>0</v>
      </c>
      <c r="E57" s="21">
        <v>0</v>
      </c>
      <c r="F57" s="21">
        <v>0</v>
      </c>
    </row>
    <row r="58" spans="1:6" x14ac:dyDescent="0.3">
      <c r="A58" s="1">
        <v>46050</v>
      </c>
      <c r="B58">
        <v>4</v>
      </c>
      <c r="C58">
        <v>0</v>
      </c>
      <c r="D58" s="9">
        <v>0</v>
      </c>
      <c r="E58">
        <v>2</v>
      </c>
      <c r="F58">
        <v>0</v>
      </c>
    </row>
    <row r="59" spans="1:6" x14ac:dyDescent="0.3">
      <c r="A59" s="1">
        <v>46051</v>
      </c>
      <c r="B59" s="21">
        <v>0</v>
      </c>
      <c r="C59" s="21">
        <v>1</v>
      </c>
      <c r="D59" s="9">
        <v>0</v>
      </c>
      <c r="E59" s="21">
        <v>0</v>
      </c>
      <c r="F59" s="21">
        <v>0</v>
      </c>
    </row>
    <row r="60" spans="1:6" x14ac:dyDescent="0.3">
      <c r="A60" s="1">
        <v>46052</v>
      </c>
      <c r="B60" s="21">
        <v>1</v>
      </c>
      <c r="C60" s="21">
        <v>0</v>
      </c>
      <c r="D60" s="9">
        <v>0</v>
      </c>
      <c r="E60" s="21">
        <v>0</v>
      </c>
      <c r="F60" s="21">
        <v>1</v>
      </c>
    </row>
    <row r="61" spans="1:6" x14ac:dyDescent="0.3">
      <c r="A61" s="1">
        <v>46055</v>
      </c>
      <c r="B61">
        <v>5</v>
      </c>
      <c r="C61">
        <v>0</v>
      </c>
      <c r="D61" s="9">
        <v>0</v>
      </c>
      <c r="E61">
        <v>0</v>
      </c>
      <c r="F61" s="21">
        <v>0</v>
      </c>
    </row>
    <row r="62" spans="1:6" x14ac:dyDescent="0.3">
      <c r="A62" s="1">
        <v>46056</v>
      </c>
      <c r="B62" s="21">
        <v>1</v>
      </c>
      <c r="C62" s="21">
        <v>0</v>
      </c>
      <c r="D62" s="9">
        <v>0</v>
      </c>
      <c r="E62" s="21">
        <v>0</v>
      </c>
      <c r="F62" s="21">
        <v>0</v>
      </c>
    </row>
    <row r="63" spans="1:6" x14ac:dyDescent="0.3">
      <c r="A63" s="1">
        <v>46057</v>
      </c>
      <c r="B63" s="21">
        <v>1</v>
      </c>
      <c r="C63" s="21">
        <v>0</v>
      </c>
      <c r="D63" s="9">
        <v>0</v>
      </c>
      <c r="E63" s="21">
        <v>0</v>
      </c>
      <c r="F63" s="21">
        <v>1</v>
      </c>
    </row>
    <row r="64" spans="1:6" x14ac:dyDescent="0.3">
      <c r="A64" s="1">
        <v>46058</v>
      </c>
      <c r="B64" s="21">
        <v>3</v>
      </c>
      <c r="C64" s="21">
        <v>0</v>
      </c>
      <c r="D64" s="9">
        <v>0</v>
      </c>
      <c r="E64" s="21">
        <v>1</v>
      </c>
      <c r="F64" s="21">
        <v>0</v>
      </c>
    </row>
    <row r="65" spans="1:6" x14ac:dyDescent="0.3">
      <c r="A65" s="1">
        <v>46059</v>
      </c>
      <c r="B65" s="21">
        <v>4</v>
      </c>
      <c r="C65" s="21">
        <v>0</v>
      </c>
      <c r="D65" s="9">
        <v>0</v>
      </c>
      <c r="E65" s="21">
        <v>0</v>
      </c>
      <c r="F65" s="21">
        <v>0</v>
      </c>
    </row>
    <row r="66" spans="1:6" x14ac:dyDescent="0.3">
      <c r="A66" s="1">
        <v>46062</v>
      </c>
      <c r="B66">
        <v>0</v>
      </c>
      <c r="C66">
        <v>0</v>
      </c>
      <c r="D66" s="9">
        <v>3.3E-3</v>
      </c>
      <c r="E66">
        <v>0</v>
      </c>
      <c r="F66">
        <v>0</v>
      </c>
    </row>
    <row r="67" spans="1:6" x14ac:dyDescent="0.3">
      <c r="A67" s="1">
        <v>46063</v>
      </c>
      <c r="B67" s="21">
        <v>2</v>
      </c>
      <c r="C67" s="21">
        <v>0</v>
      </c>
      <c r="D67" s="9">
        <v>3.3E-3</v>
      </c>
      <c r="E67" s="21">
        <v>0</v>
      </c>
      <c r="F67" s="21">
        <v>0</v>
      </c>
    </row>
    <row r="68" spans="1:6" x14ac:dyDescent="0.3">
      <c r="A68" s="1">
        <v>46064</v>
      </c>
      <c r="B68">
        <v>4</v>
      </c>
      <c r="C68">
        <v>0</v>
      </c>
      <c r="D68" s="9">
        <v>3.3E-3</v>
      </c>
      <c r="E68">
        <v>0</v>
      </c>
      <c r="F68">
        <v>0</v>
      </c>
    </row>
    <row r="69" spans="1:6" x14ac:dyDescent="0.3">
      <c r="A69" s="1">
        <v>46065</v>
      </c>
      <c r="B69" s="21">
        <v>1</v>
      </c>
      <c r="C69" s="21">
        <v>1</v>
      </c>
      <c r="D69" s="9">
        <v>3.3E-3</v>
      </c>
      <c r="E69" s="21">
        <v>1</v>
      </c>
      <c r="F69" s="21">
        <v>0</v>
      </c>
    </row>
    <row r="70" spans="1:6" x14ac:dyDescent="0.3">
      <c r="A70" s="1">
        <v>46066</v>
      </c>
      <c r="B70">
        <v>2</v>
      </c>
      <c r="C70">
        <v>1</v>
      </c>
      <c r="D70" s="9">
        <v>2.7000000000000001E-3</v>
      </c>
      <c r="E70">
        <v>1</v>
      </c>
      <c r="F70">
        <v>0</v>
      </c>
    </row>
    <row r="71" spans="1:6" x14ac:dyDescent="0.3">
      <c r="A71" s="1">
        <v>46069</v>
      </c>
      <c r="B71">
        <v>25</v>
      </c>
      <c r="C71">
        <v>1</v>
      </c>
      <c r="D71" s="9">
        <v>2.7000000000000001E-3</v>
      </c>
      <c r="E71">
        <v>1</v>
      </c>
      <c r="F71">
        <v>0</v>
      </c>
    </row>
    <row r="72" spans="1:6" x14ac:dyDescent="0.3">
      <c r="A72" s="1">
        <v>46070</v>
      </c>
      <c r="B72">
        <v>9</v>
      </c>
      <c r="C72">
        <v>0</v>
      </c>
      <c r="D72" s="9">
        <v>2.7000000000000001E-3</v>
      </c>
      <c r="E72">
        <v>0</v>
      </c>
      <c r="F72">
        <v>0</v>
      </c>
    </row>
    <row r="73" spans="1:6" x14ac:dyDescent="0.3">
      <c r="A73" s="1">
        <v>46071</v>
      </c>
      <c r="B73">
        <v>2</v>
      </c>
      <c r="C73">
        <v>0</v>
      </c>
      <c r="D73" s="9">
        <v>2.7000000000000001E-3</v>
      </c>
      <c r="E73">
        <v>0</v>
      </c>
      <c r="F73">
        <v>0</v>
      </c>
    </row>
    <row r="74" spans="1:6" x14ac:dyDescent="0.3">
      <c r="A74" s="1">
        <v>46072</v>
      </c>
      <c r="B74">
        <v>3</v>
      </c>
      <c r="C74">
        <v>0</v>
      </c>
      <c r="D74" s="9">
        <v>1.1699999999999999E-2</v>
      </c>
      <c r="E74">
        <v>0</v>
      </c>
      <c r="F74">
        <v>0</v>
      </c>
    </row>
    <row r="75" spans="1:6" x14ac:dyDescent="0.3">
      <c r="A75" s="1">
        <v>46076</v>
      </c>
      <c r="B75">
        <v>2</v>
      </c>
      <c r="C75">
        <v>0</v>
      </c>
      <c r="D75" s="9">
        <v>1.1699999999999999E-2</v>
      </c>
      <c r="E75">
        <v>0</v>
      </c>
      <c r="F75">
        <v>0</v>
      </c>
    </row>
    <row r="76" spans="1:6" x14ac:dyDescent="0.3">
      <c r="A76" s="1">
        <v>46077</v>
      </c>
      <c r="B76">
        <v>2</v>
      </c>
      <c r="C76">
        <v>0</v>
      </c>
      <c r="D76" s="9">
        <v>1.1699999999999999E-2</v>
      </c>
      <c r="E76">
        <v>0</v>
      </c>
      <c r="F76">
        <v>0</v>
      </c>
    </row>
    <row r="77" spans="1:6" x14ac:dyDescent="0.3">
      <c r="A77" s="1">
        <v>46078</v>
      </c>
      <c r="B77">
        <v>1</v>
      </c>
      <c r="C77">
        <v>0</v>
      </c>
      <c r="D77" s="9">
        <v>1.1699999999999999E-2</v>
      </c>
      <c r="E77">
        <v>0</v>
      </c>
      <c r="F77">
        <v>0</v>
      </c>
    </row>
    <row r="78" spans="1:6" x14ac:dyDescent="0.3">
      <c r="A78" s="1">
        <v>46079</v>
      </c>
      <c r="B78">
        <v>12</v>
      </c>
      <c r="C78">
        <v>0</v>
      </c>
      <c r="D78" s="9">
        <v>1.23E-2</v>
      </c>
      <c r="E78">
        <v>0</v>
      </c>
      <c r="F78">
        <v>1</v>
      </c>
    </row>
    <row r="79" spans="1:6" x14ac:dyDescent="0.3">
      <c r="A79" s="1">
        <v>46080</v>
      </c>
      <c r="B79">
        <v>3</v>
      </c>
      <c r="C79">
        <v>1</v>
      </c>
      <c r="D79" s="9">
        <v>1.23E-2</v>
      </c>
      <c r="E79">
        <v>0</v>
      </c>
      <c r="F79">
        <v>0</v>
      </c>
    </row>
    <row r="80" spans="1:6" x14ac:dyDescent="0.3">
      <c r="A80" s="1">
        <v>46083</v>
      </c>
      <c r="B80">
        <v>3</v>
      </c>
      <c r="C80">
        <v>0</v>
      </c>
      <c r="D80" s="9">
        <v>1.23E-2</v>
      </c>
      <c r="E80">
        <v>0</v>
      </c>
      <c r="F80">
        <v>0</v>
      </c>
    </row>
    <row r="81" spans="1:6" x14ac:dyDescent="0.3">
      <c r="A81" s="1">
        <v>46084</v>
      </c>
      <c r="B81">
        <v>2</v>
      </c>
      <c r="C81">
        <v>0</v>
      </c>
      <c r="D81" s="9">
        <v>1.23E-2</v>
      </c>
      <c r="E81">
        <v>0</v>
      </c>
      <c r="F81">
        <v>0</v>
      </c>
    </row>
    <row r="82" spans="1:6" x14ac:dyDescent="0.3">
      <c r="A82" s="1">
        <v>46085</v>
      </c>
      <c r="B82">
        <v>4</v>
      </c>
      <c r="C82">
        <v>0</v>
      </c>
      <c r="D82" s="9">
        <v>1.23E-2</v>
      </c>
      <c r="E82">
        <v>0</v>
      </c>
      <c r="F82">
        <v>1</v>
      </c>
    </row>
    <row r="83" spans="1:6" x14ac:dyDescent="0.3">
      <c r="A83" s="1">
        <v>46090</v>
      </c>
      <c r="B83">
        <v>2</v>
      </c>
      <c r="C83">
        <v>0</v>
      </c>
      <c r="D83" s="9">
        <v>1.09E-2</v>
      </c>
      <c r="E83">
        <v>0</v>
      </c>
      <c r="F83">
        <v>0</v>
      </c>
    </row>
    <row r="84" spans="1:6" x14ac:dyDescent="0.3">
      <c r="A84" s="1">
        <v>46091</v>
      </c>
      <c r="B84">
        <v>7</v>
      </c>
      <c r="C84">
        <v>0</v>
      </c>
      <c r="D84" s="9">
        <v>1.09E-2</v>
      </c>
      <c r="E84">
        <v>1</v>
      </c>
      <c r="F8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9E82-52B1-426B-A6DC-7EEF67E232FB}">
  <dimension ref="A1:T90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Q83" sqref="Q83"/>
    </sheetView>
  </sheetViews>
  <sheetFormatPr defaultRowHeight="14.4" x14ac:dyDescent="0.3"/>
  <cols>
    <col min="1" max="1" width="10.5546875" style="1" bestFit="1" customWidth="1"/>
    <col min="2" max="2" width="15.109375" style="17" bestFit="1" customWidth="1"/>
    <col min="3" max="3" width="16.6640625" style="17" bestFit="1" customWidth="1"/>
    <col min="5" max="5" width="14.44140625" bestFit="1" customWidth="1"/>
    <col min="11" max="11" width="14" bestFit="1" customWidth="1"/>
    <col min="12" max="12" width="15" style="93" bestFit="1" customWidth="1"/>
    <col min="13" max="13" width="20.5546875" style="6" bestFit="1" customWidth="1"/>
    <col min="14" max="14" width="19.109375" bestFit="1" customWidth="1"/>
    <col min="15" max="15" width="20.6640625" bestFit="1" customWidth="1"/>
    <col min="16" max="16" width="13.33203125" bestFit="1" customWidth="1"/>
    <col min="17" max="17" width="16.109375" style="56" bestFit="1" customWidth="1"/>
    <col min="18" max="18" width="16.33203125" bestFit="1" customWidth="1"/>
    <col min="19" max="19" width="13.44140625" style="6" bestFit="1" customWidth="1"/>
    <col min="20" max="20" width="9.33203125" bestFit="1" customWidth="1"/>
  </cols>
  <sheetData>
    <row r="1" spans="1:20" x14ac:dyDescent="0.3">
      <c r="A1" s="3" t="s">
        <v>0</v>
      </c>
      <c r="B1" s="16" t="s">
        <v>315</v>
      </c>
      <c r="C1" s="16" t="s">
        <v>316</v>
      </c>
      <c r="D1" s="2" t="s">
        <v>317</v>
      </c>
      <c r="E1" s="2" t="s">
        <v>318</v>
      </c>
      <c r="F1" s="2" t="s">
        <v>319</v>
      </c>
      <c r="G1" s="2" t="s">
        <v>320</v>
      </c>
      <c r="H1" s="2" t="s">
        <v>321</v>
      </c>
      <c r="I1" s="2" t="s">
        <v>322</v>
      </c>
      <c r="J1" s="2" t="s">
        <v>323</v>
      </c>
      <c r="K1" s="2" t="s">
        <v>324</v>
      </c>
      <c r="L1" s="92" t="s">
        <v>325</v>
      </c>
      <c r="M1" s="22">
        <v>0.37</v>
      </c>
      <c r="N1" s="2" t="s">
        <v>326</v>
      </c>
      <c r="O1" s="2" t="s">
        <v>327</v>
      </c>
      <c r="P1" s="2" t="s">
        <v>328</v>
      </c>
      <c r="Q1" s="55" t="s">
        <v>329</v>
      </c>
      <c r="R1" s="2" t="s">
        <v>330</v>
      </c>
      <c r="S1" s="5" t="s">
        <v>331</v>
      </c>
      <c r="T1" s="2" t="s">
        <v>9</v>
      </c>
    </row>
    <row r="2" spans="1:20" x14ac:dyDescent="0.3">
      <c r="A2" s="3">
        <v>45658</v>
      </c>
      <c r="B2" s="16"/>
      <c r="C2" s="16"/>
      <c r="D2" s="2"/>
      <c r="E2" s="2"/>
      <c r="F2" s="2"/>
      <c r="G2" s="2"/>
      <c r="H2" s="2"/>
      <c r="I2" s="2"/>
      <c r="J2" s="2"/>
      <c r="K2" s="2"/>
      <c r="L2" s="92">
        <v>0.38700000000000001</v>
      </c>
      <c r="M2" s="22">
        <v>0.37</v>
      </c>
      <c r="N2" s="2"/>
      <c r="O2" s="2"/>
      <c r="P2" s="2"/>
      <c r="Q2" s="55"/>
      <c r="R2" s="2"/>
      <c r="S2" s="5"/>
      <c r="T2" s="2"/>
    </row>
    <row r="3" spans="1:20" x14ac:dyDescent="0.3">
      <c r="A3" s="3">
        <v>45689</v>
      </c>
      <c r="B3" s="16"/>
      <c r="C3" s="16"/>
      <c r="D3" s="2"/>
      <c r="E3" s="2"/>
      <c r="F3" s="2"/>
      <c r="G3" s="2"/>
      <c r="H3" s="2"/>
      <c r="I3" s="2"/>
      <c r="J3" s="2"/>
      <c r="K3" s="2"/>
      <c r="L3" s="92">
        <v>0.39300000000000002</v>
      </c>
      <c r="M3" s="22">
        <v>0.37</v>
      </c>
      <c r="N3" s="2"/>
      <c r="O3" s="2"/>
      <c r="P3" s="2"/>
      <c r="Q3" s="55"/>
      <c r="R3" s="2"/>
      <c r="S3" s="5"/>
      <c r="T3" s="2"/>
    </row>
    <row r="4" spans="1:20" x14ac:dyDescent="0.3">
      <c r="A4" s="3">
        <v>45717</v>
      </c>
      <c r="B4" s="16"/>
      <c r="C4" s="16"/>
      <c r="D4" s="2"/>
      <c r="E4" s="2"/>
      <c r="F4" s="2"/>
      <c r="G4" s="2"/>
      <c r="H4" s="2"/>
      <c r="I4" s="2"/>
      <c r="J4" s="2"/>
      <c r="K4" s="2"/>
      <c r="L4" s="92">
        <v>0.38</v>
      </c>
      <c r="M4" s="22">
        <v>0.37</v>
      </c>
      <c r="N4" s="2"/>
      <c r="O4" s="2"/>
      <c r="P4" s="2"/>
      <c r="Q4" s="55"/>
      <c r="R4" s="2"/>
      <c r="S4" s="5"/>
      <c r="T4" s="2"/>
    </row>
    <row r="5" spans="1:20" x14ac:dyDescent="0.3">
      <c r="A5" s="3">
        <v>45748</v>
      </c>
      <c r="B5" s="16"/>
      <c r="C5" s="16"/>
      <c r="D5" s="2"/>
      <c r="E5" s="2"/>
      <c r="F5" s="2"/>
      <c r="G5" s="2"/>
      <c r="H5" s="2"/>
      <c r="I5" s="2"/>
      <c r="J5" s="2"/>
      <c r="K5" s="2"/>
      <c r="L5" s="92">
        <v>0.374</v>
      </c>
      <c r="M5" s="22">
        <v>0.37</v>
      </c>
      <c r="N5" s="2"/>
      <c r="O5" s="2"/>
      <c r="P5" s="2"/>
      <c r="Q5" s="55"/>
      <c r="R5" s="2"/>
      <c r="S5" s="5"/>
      <c r="T5" s="2"/>
    </row>
    <row r="6" spans="1:20" x14ac:dyDescent="0.3">
      <c r="A6" s="3">
        <v>45778</v>
      </c>
      <c r="B6" s="16"/>
      <c r="C6" s="16"/>
      <c r="D6" s="2"/>
      <c r="E6" s="2"/>
      <c r="F6" s="2"/>
      <c r="G6" s="2"/>
      <c r="H6" s="2"/>
      <c r="I6" s="2"/>
      <c r="J6" s="2"/>
      <c r="K6" s="2"/>
      <c r="L6" s="92">
        <v>0.39300000000000002</v>
      </c>
      <c r="M6" s="22">
        <v>0.37</v>
      </c>
      <c r="N6" s="2"/>
      <c r="O6" s="2"/>
      <c r="P6" s="2"/>
      <c r="Q6" s="55"/>
      <c r="R6" s="2"/>
      <c r="S6" s="5"/>
      <c r="T6" s="2"/>
    </row>
    <row r="7" spans="1:20" x14ac:dyDescent="0.3">
      <c r="A7" s="3">
        <v>45809</v>
      </c>
      <c r="B7" s="16"/>
      <c r="C7" s="16"/>
      <c r="D7" s="2"/>
      <c r="E7" s="2"/>
      <c r="F7" s="2"/>
      <c r="G7" s="2"/>
      <c r="H7" s="2"/>
      <c r="I7" s="2"/>
      <c r="J7" s="2"/>
      <c r="K7" s="2"/>
      <c r="L7" s="92">
        <v>0.39400000000000002</v>
      </c>
      <c r="M7" s="22">
        <v>0.37</v>
      </c>
      <c r="N7" s="2"/>
      <c r="O7" s="2"/>
      <c r="P7" s="2"/>
      <c r="Q7" s="55"/>
      <c r="R7" s="2"/>
      <c r="S7" s="5"/>
      <c r="T7" s="2"/>
    </row>
    <row r="8" spans="1:20" x14ac:dyDescent="0.3">
      <c r="A8" s="3">
        <v>45839</v>
      </c>
      <c r="B8" s="16"/>
      <c r="C8" s="16"/>
      <c r="D8" s="2"/>
      <c r="E8" s="2"/>
      <c r="F8" s="2"/>
      <c r="G8" s="2"/>
      <c r="H8" s="2"/>
      <c r="I8" s="2"/>
      <c r="J8" s="2"/>
      <c r="K8" s="2"/>
      <c r="L8" s="92">
        <v>0.54800000000000004</v>
      </c>
      <c r="M8" s="22">
        <v>0.37</v>
      </c>
      <c r="N8" s="2"/>
      <c r="O8" s="2"/>
      <c r="P8" s="2"/>
      <c r="Q8" s="55"/>
      <c r="R8" s="2"/>
      <c r="S8" s="5"/>
      <c r="T8" s="2"/>
    </row>
    <row r="9" spans="1:20" x14ac:dyDescent="0.3">
      <c r="A9" s="3">
        <v>45870</v>
      </c>
      <c r="B9" s="16"/>
      <c r="C9" s="16"/>
      <c r="D9" s="2"/>
      <c r="E9" s="2"/>
      <c r="F9" s="2"/>
      <c r="G9" s="2"/>
      <c r="H9" s="2"/>
      <c r="I9" s="2"/>
      <c r="J9" s="2"/>
      <c r="K9" s="2"/>
      <c r="L9" s="92">
        <v>0.65</v>
      </c>
      <c r="M9" s="22">
        <v>0.37</v>
      </c>
      <c r="N9" s="2"/>
      <c r="O9" s="2"/>
      <c r="P9" s="2"/>
      <c r="Q9" s="55"/>
      <c r="R9" s="2"/>
      <c r="S9" s="5"/>
      <c r="T9" s="2"/>
    </row>
    <row r="10" spans="1:20" x14ac:dyDescent="0.3">
      <c r="A10" s="3">
        <v>45901</v>
      </c>
      <c r="B10" s="16"/>
      <c r="C10" s="16"/>
      <c r="D10" s="2"/>
      <c r="E10" s="2"/>
      <c r="F10" s="2"/>
      <c r="G10" s="2"/>
      <c r="H10" s="2"/>
      <c r="I10" s="2"/>
      <c r="J10" s="2"/>
      <c r="K10" s="2"/>
      <c r="L10" s="92">
        <v>0.53</v>
      </c>
      <c r="M10" s="22">
        <v>0.37</v>
      </c>
      <c r="N10" s="2"/>
      <c r="O10" s="2"/>
      <c r="P10" s="2"/>
      <c r="Q10" s="55"/>
      <c r="R10" s="2"/>
      <c r="S10" s="5"/>
      <c r="T10" s="2"/>
    </row>
    <row r="11" spans="1:20" x14ac:dyDescent="0.3">
      <c r="A11" s="3">
        <v>45931</v>
      </c>
      <c r="B11" s="16"/>
      <c r="C11" s="16"/>
      <c r="D11" s="2"/>
      <c r="E11" s="2"/>
      <c r="F11" s="2"/>
      <c r="G11" s="2"/>
      <c r="H11" s="2"/>
      <c r="I11" s="2"/>
      <c r="J11" s="2"/>
      <c r="K11" s="2"/>
      <c r="L11" s="92">
        <v>1.028</v>
      </c>
      <c r="M11" s="22">
        <v>0.37</v>
      </c>
      <c r="N11" s="2"/>
      <c r="O11" s="2"/>
      <c r="P11" s="2"/>
      <c r="Q11" s="55"/>
      <c r="R11" s="2"/>
      <c r="S11" s="5"/>
      <c r="T11" s="2"/>
    </row>
    <row r="12" spans="1:20" x14ac:dyDescent="0.3">
      <c r="A12" s="3">
        <v>45962</v>
      </c>
      <c r="B12" s="16"/>
      <c r="C12" s="16"/>
      <c r="D12" s="2"/>
      <c r="E12" s="2"/>
      <c r="F12" s="2"/>
      <c r="G12" s="2"/>
      <c r="H12" s="2"/>
      <c r="I12" s="2"/>
      <c r="J12" s="2"/>
      <c r="K12" s="2"/>
      <c r="L12" s="92">
        <v>0.53900000000000003</v>
      </c>
      <c r="M12" s="22">
        <v>0.37</v>
      </c>
      <c r="N12" s="2"/>
      <c r="O12" s="2"/>
      <c r="P12" s="2"/>
      <c r="Q12" s="55"/>
      <c r="R12" s="2"/>
      <c r="S12" s="5"/>
      <c r="T12" s="2"/>
    </row>
    <row r="13" spans="1:20" x14ac:dyDescent="0.3">
      <c r="A13" s="1">
        <v>45964</v>
      </c>
      <c r="B13" s="17">
        <v>0.16</v>
      </c>
      <c r="C13" s="17">
        <v>0.12</v>
      </c>
      <c r="D13">
        <v>0.2</v>
      </c>
      <c r="E13">
        <v>0.26</v>
      </c>
      <c r="G13">
        <v>0.24</v>
      </c>
      <c r="J13">
        <v>0.23</v>
      </c>
      <c r="L13" s="92">
        <v>0.53900000000000003</v>
      </c>
      <c r="M13" s="22">
        <v>0.37</v>
      </c>
    </row>
    <row r="14" spans="1:20" x14ac:dyDescent="0.3">
      <c r="A14" s="1">
        <v>45965</v>
      </c>
      <c r="B14" s="17">
        <v>0.2</v>
      </c>
      <c r="C14" s="17">
        <v>0.16</v>
      </c>
      <c r="D14">
        <v>0.2</v>
      </c>
      <c r="E14">
        <v>0.25</v>
      </c>
      <c r="G14">
        <v>0.24</v>
      </c>
      <c r="J14">
        <v>0.26</v>
      </c>
      <c r="L14" s="92">
        <v>0.53900000000000003</v>
      </c>
      <c r="M14" s="22">
        <v>0.37</v>
      </c>
    </row>
    <row r="15" spans="1:20" x14ac:dyDescent="0.3">
      <c r="A15" s="1">
        <v>45966</v>
      </c>
      <c r="B15" s="17">
        <v>0.17</v>
      </c>
      <c r="C15" s="17">
        <v>0.11</v>
      </c>
      <c r="D15">
        <v>0.19</v>
      </c>
      <c r="E15">
        <v>0.26</v>
      </c>
      <c r="G15">
        <v>0.21</v>
      </c>
      <c r="J15">
        <v>0.25</v>
      </c>
      <c r="L15" s="92">
        <v>0.53900000000000003</v>
      </c>
      <c r="M15" s="22">
        <v>0.37</v>
      </c>
    </row>
    <row r="16" spans="1:20" x14ac:dyDescent="0.3">
      <c r="A16" s="1">
        <v>45967</v>
      </c>
      <c r="B16" s="17">
        <v>0.27</v>
      </c>
      <c r="C16" s="17">
        <v>0.21</v>
      </c>
      <c r="D16">
        <v>0.1</v>
      </c>
      <c r="E16">
        <v>0.24</v>
      </c>
      <c r="G16">
        <v>0.24</v>
      </c>
      <c r="J16">
        <v>0.27</v>
      </c>
      <c r="L16" s="92">
        <v>0.53900000000000003</v>
      </c>
      <c r="M16" s="22">
        <v>0.37</v>
      </c>
    </row>
    <row r="17" spans="1:17" x14ac:dyDescent="0.3">
      <c r="A17" s="1">
        <v>45968</v>
      </c>
      <c r="B17" s="17">
        <v>0.16</v>
      </c>
      <c r="C17" s="17">
        <v>0.13</v>
      </c>
      <c r="D17">
        <v>0.19</v>
      </c>
      <c r="E17">
        <v>0.24</v>
      </c>
      <c r="G17">
        <v>0.15</v>
      </c>
      <c r="J17">
        <v>0.24</v>
      </c>
      <c r="L17" s="92">
        <v>0.53900000000000003</v>
      </c>
      <c r="M17" s="22">
        <v>0.37</v>
      </c>
    </row>
    <row r="18" spans="1:17" x14ac:dyDescent="0.3">
      <c r="A18" s="1">
        <v>45970</v>
      </c>
      <c r="B18" s="17">
        <v>0.16</v>
      </c>
      <c r="C18" s="17">
        <v>7.0000000000000007E-2</v>
      </c>
      <c r="D18">
        <v>0.25</v>
      </c>
      <c r="E18">
        <v>0.27</v>
      </c>
      <c r="G18">
        <v>0.31</v>
      </c>
      <c r="J18">
        <v>0.31</v>
      </c>
      <c r="L18" s="92">
        <v>0.53900000000000003</v>
      </c>
      <c r="M18" s="22">
        <v>0.37</v>
      </c>
    </row>
    <row r="19" spans="1:17" x14ac:dyDescent="0.3">
      <c r="A19" s="1">
        <v>45971</v>
      </c>
      <c r="B19" s="17">
        <v>0.16</v>
      </c>
      <c r="C19" s="17">
        <v>0.12</v>
      </c>
      <c r="D19">
        <v>0.17</v>
      </c>
      <c r="E19">
        <v>0.24</v>
      </c>
      <c r="G19">
        <v>0.17</v>
      </c>
      <c r="J19">
        <v>0.28999999999999998</v>
      </c>
      <c r="L19" s="92">
        <v>0.53900000000000003</v>
      </c>
      <c r="M19" s="22">
        <v>0.37</v>
      </c>
    </row>
    <row r="20" spans="1:17" x14ac:dyDescent="0.3">
      <c r="A20" s="1">
        <v>45972</v>
      </c>
      <c r="B20" s="17">
        <v>0.2</v>
      </c>
      <c r="C20" s="17">
        <v>0.13</v>
      </c>
      <c r="D20">
        <v>0.19</v>
      </c>
      <c r="E20">
        <v>0.26</v>
      </c>
      <c r="G20">
        <v>0.18</v>
      </c>
      <c r="J20">
        <v>0.28999999999999998</v>
      </c>
      <c r="L20" s="92">
        <v>0.53900000000000003</v>
      </c>
      <c r="M20" s="22">
        <v>0.37</v>
      </c>
    </row>
    <row r="21" spans="1:17" x14ac:dyDescent="0.3">
      <c r="A21" s="1">
        <v>45973</v>
      </c>
      <c r="B21" s="17">
        <v>0.19</v>
      </c>
      <c r="C21" s="17">
        <v>0.11</v>
      </c>
      <c r="D21">
        <v>0.18</v>
      </c>
      <c r="E21">
        <v>0.25</v>
      </c>
      <c r="G21">
        <v>0.16</v>
      </c>
      <c r="J21">
        <v>0.28999999999999998</v>
      </c>
      <c r="L21" s="92">
        <v>0.53900000000000003</v>
      </c>
      <c r="M21" s="22">
        <v>0.37</v>
      </c>
      <c r="N21">
        <v>174</v>
      </c>
      <c r="Q21" s="56">
        <v>159797</v>
      </c>
    </row>
    <row r="22" spans="1:17" x14ac:dyDescent="0.3">
      <c r="A22" s="1">
        <v>45979</v>
      </c>
      <c r="B22" s="17">
        <v>0.19</v>
      </c>
      <c r="C22" s="17">
        <v>0.08</v>
      </c>
      <c r="K22">
        <v>265</v>
      </c>
      <c r="L22" s="92">
        <v>0.53900000000000003</v>
      </c>
      <c r="M22" s="22">
        <v>0.37</v>
      </c>
      <c r="N22">
        <v>133</v>
      </c>
      <c r="Q22" s="56">
        <v>133573</v>
      </c>
    </row>
    <row r="23" spans="1:17" x14ac:dyDescent="0.3">
      <c r="A23" s="1">
        <v>45980</v>
      </c>
      <c r="B23" s="17">
        <v>0.25</v>
      </c>
      <c r="C23" s="17">
        <v>0.16</v>
      </c>
      <c r="K23">
        <v>270</v>
      </c>
      <c r="L23" s="92">
        <v>0.53900000000000003</v>
      </c>
      <c r="M23" s="22">
        <v>0.37</v>
      </c>
      <c r="N23">
        <v>194</v>
      </c>
      <c r="Q23" s="56">
        <v>168409</v>
      </c>
    </row>
    <row r="24" spans="1:17" x14ac:dyDescent="0.3">
      <c r="A24" s="1">
        <v>45981</v>
      </c>
      <c r="B24" s="17">
        <v>0.17</v>
      </c>
      <c r="C24" s="17">
        <v>0.12</v>
      </c>
      <c r="K24">
        <v>212</v>
      </c>
      <c r="L24" s="92">
        <v>0.53900000000000003</v>
      </c>
      <c r="M24" s="22">
        <v>0.37</v>
      </c>
    </row>
    <row r="25" spans="1:17" x14ac:dyDescent="0.3">
      <c r="A25" s="1">
        <v>45992</v>
      </c>
      <c r="B25" s="17">
        <v>0.17799999999999999</v>
      </c>
      <c r="C25" s="17">
        <v>0.106</v>
      </c>
      <c r="K25">
        <v>246</v>
      </c>
      <c r="M25" s="22">
        <v>0.37</v>
      </c>
      <c r="N25">
        <v>185</v>
      </c>
      <c r="Q25" s="56">
        <v>165335</v>
      </c>
    </row>
    <row r="26" spans="1:17" x14ac:dyDescent="0.3">
      <c r="A26" s="1">
        <v>45993</v>
      </c>
      <c r="B26" s="17">
        <v>0.17799999999999999</v>
      </c>
      <c r="C26" s="17">
        <v>0.106</v>
      </c>
      <c r="K26">
        <v>246</v>
      </c>
      <c r="M26" s="22">
        <v>0.37</v>
      </c>
      <c r="N26">
        <v>185</v>
      </c>
      <c r="Q26" s="56">
        <v>166148</v>
      </c>
    </row>
    <row r="27" spans="1:17" x14ac:dyDescent="0.3">
      <c r="A27" s="1">
        <v>45994</v>
      </c>
      <c r="B27" s="17">
        <v>0.17</v>
      </c>
      <c r="C27" s="17">
        <v>0.11</v>
      </c>
      <c r="K27">
        <v>257</v>
      </c>
      <c r="M27" s="22">
        <v>0.37</v>
      </c>
      <c r="N27">
        <v>184</v>
      </c>
      <c r="O27">
        <v>122</v>
      </c>
      <c r="Q27" s="56">
        <v>167065</v>
      </c>
    </row>
    <row r="28" spans="1:17" x14ac:dyDescent="0.3">
      <c r="A28" s="1">
        <v>45995</v>
      </c>
      <c r="B28" s="17">
        <v>0.19</v>
      </c>
      <c r="C28" s="17">
        <v>0.12</v>
      </c>
      <c r="K28">
        <v>273</v>
      </c>
      <c r="L28" s="94">
        <v>0.63</v>
      </c>
      <c r="M28" s="22">
        <v>0.37</v>
      </c>
      <c r="N28">
        <v>175</v>
      </c>
      <c r="O28">
        <v>110</v>
      </c>
      <c r="Q28" s="56">
        <v>173981</v>
      </c>
    </row>
    <row r="29" spans="1:17" x14ac:dyDescent="0.3">
      <c r="A29" s="1">
        <v>45999</v>
      </c>
      <c r="B29" s="17">
        <v>0.16</v>
      </c>
      <c r="C29" s="17">
        <v>0.12</v>
      </c>
      <c r="K29">
        <v>217</v>
      </c>
      <c r="L29" s="94">
        <v>0.63</v>
      </c>
      <c r="M29" s="22">
        <v>0.37</v>
      </c>
      <c r="N29">
        <v>203</v>
      </c>
      <c r="O29">
        <v>123</v>
      </c>
      <c r="Q29" s="56">
        <v>170822</v>
      </c>
    </row>
    <row r="30" spans="1:17" x14ac:dyDescent="0.3">
      <c r="A30" s="1">
        <v>46000</v>
      </c>
      <c r="B30" s="17">
        <v>0.13</v>
      </c>
      <c r="C30" s="17">
        <v>0.11</v>
      </c>
      <c r="K30">
        <v>251</v>
      </c>
      <c r="L30" s="94">
        <v>0.63</v>
      </c>
      <c r="M30" s="22">
        <v>0.37</v>
      </c>
      <c r="N30">
        <v>155</v>
      </c>
      <c r="O30">
        <v>98</v>
      </c>
      <c r="Q30" s="56">
        <v>150066</v>
      </c>
    </row>
    <row r="31" spans="1:17" x14ac:dyDescent="0.3">
      <c r="A31" s="1">
        <v>46001</v>
      </c>
      <c r="B31" s="17">
        <v>0.12</v>
      </c>
      <c r="C31" s="17">
        <v>0.27</v>
      </c>
      <c r="K31">
        <v>258</v>
      </c>
      <c r="L31" s="94">
        <v>0.63</v>
      </c>
      <c r="M31" s="22">
        <v>0.37</v>
      </c>
      <c r="N31">
        <v>188</v>
      </c>
      <c r="O31">
        <v>118</v>
      </c>
      <c r="Q31" s="56">
        <v>187716</v>
      </c>
    </row>
    <row r="32" spans="1:17" x14ac:dyDescent="0.3">
      <c r="A32" s="1">
        <v>46002</v>
      </c>
      <c r="B32" s="17">
        <v>0.15</v>
      </c>
      <c r="C32" s="17">
        <v>0.28000000000000003</v>
      </c>
      <c r="K32">
        <v>282</v>
      </c>
      <c r="L32" s="94">
        <v>0.63</v>
      </c>
      <c r="M32" s="22">
        <v>0.37</v>
      </c>
    </row>
    <row r="33" spans="1:17" x14ac:dyDescent="0.3">
      <c r="A33" s="1">
        <v>46004</v>
      </c>
      <c r="B33" s="17">
        <v>0.18</v>
      </c>
      <c r="C33" s="17">
        <v>0.13</v>
      </c>
      <c r="D33">
        <v>0.16</v>
      </c>
      <c r="E33">
        <v>0.27</v>
      </c>
      <c r="L33" s="94">
        <v>0.63</v>
      </c>
      <c r="M33" s="22">
        <v>0.37</v>
      </c>
      <c r="N33">
        <v>183</v>
      </c>
      <c r="O33">
        <v>111</v>
      </c>
      <c r="Q33" s="56">
        <v>879545</v>
      </c>
    </row>
    <row r="34" spans="1:17" x14ac:dyDescent="0.3">
      <c r="A34" s="1">
        <v>46006</v>
      </c>
      <c r="B34" s="17">
        <v>0.17</v>
      </c>
      <c r="C34" s="17">
        <v>0.14000000000000001</v>
      </c>
      <c r="D34">
        <v>0.3</v>
      </c>
      <c r="E34">
        <v>0.13</v>
      </c>
      <c r="K34">
        <v>276</v>
      </c>
      <c r="L34" s="94">
        <v>0.63</v>
      </c>
      <c r="M34" s="22">
        <v>0.37</v>
      </c>
      <c r="N34">
        <v>186</v>
      </c>
      <c r="O34">
        <v>114</v>
      </c>
      <c r="Q34" s="56">
        <v>173873</v>
      </c>
    </row>
    <row r="35" spans="1:17" x14ac:dyDescent="0.3">
      <c r="A35" s="1">
        <v>46007</v>
      </c>
      <c r="B35" s="17">
        <v>0.18</v>
      </c>
      <c r="C35" s="17">
        <v>0.12</v>
      </c>
      <c r="D35">
        <v>0.14000000000000001</v>
      </c>
      <c r="E35">
        <v>0.28000000000000003</v>
      </c>
      <c r="L35" s="94">
        <v>0.63</v>
      </c>
      <c r="M35" s="22">
        <v>0.37</v>
      </c>
      <c r="N35">
        <v>177</v>
      </c>
      <c r="O35">
        <v>105</v>
      </c>
      <c r="Q35" s="56">
        <v>154180</v>
      </c>
    </row>
    <row r="36" spans="1:17" x14ac:dyDescent="0.3">
      <c r="A36" s="1">
        <v>46008</v>
      </c>
      <c r="B36" s="17">
        <v>0.17</v>
      </c>
      <c r="C36" s="17">
        <v>0.12</v>
      </c>
      <c r="D36">
        <v>0.12</v>
      </c>
      <c r="E36">
        <v>0.22</v>
      </c>
      <c r="L36" s="94">
        <v>0.63</v>
      </c>
      <c r="M36" s="22">
        <v>0.37</v>
      </c>
      <c r="N36">
        <v>191</v>
      </c>
      <c r="O36">
        <v>117</v>
      </c>
      <c r="Q36" s="56">
        <v>169</v>
      </c>
    </row>
    <row r="37" spans="1:17" x14ac:dyDescent="0.3">
      <c r="A37" s="1">
        <v>46009</v>
      </c>
      <c r="B37" s="17">
        <v>0.17499999999999999</v>
      </c>
      <c r="C37" s="17">
        <v>0.14199999999999999</v>
      </c>
      <c r="D37">
        <v>0.09</v>
      </c>
      <c r="E37">
        <v>0.24</v>
      </c>
      <c r="G37">
        <v>0.2</v>
      </c>
      <c r="J37">
        <v>0.2</v>
      </c>
      <c r="L37" s="94">
        <v>0.63</v>
      </c>
      <c r="M37" s="22">
        <v>0.37</v>
      </c>
      <c r="N37">
        <v>188</v>
      </c>
      <c r="O37">
        <v>113</v>
      </c>
      <c r="Q37" s="56">
        <v>167380</v>
      </c>
    </row>
    <row r="38" spans="1:17" x14ac:dyDescent="0.3">
      <c r="A38" s="1">
        <v>46012</v>
      </c>
      <c r="B38" s="17">
        <v>0.17899999999999999</v>
      </c>
      <c r="C38" s="17">
        <v>0.13200000000000001</v>
      </c>
      <c r="D38">
        <v>0.223</v>
      </c>
      <c r="E38">
        <v>0.3</v>
      </c>
      <c r="L38" s="94">
        <v>0.63</v>
      </c>
      <c r="M38" s="22">
        <v>0.37</v>
      </c>
      <c r="N38">
        <v>191</v>
      </c>
      <c r="O38">
        <v>116</v>
      </c>
      <c r="Q38" s="56">
        <v>980222</v>
      </c>
    </row>
    <row r="39" spans="1:17" x14ac:dyDescent="0.3">
      <c r="A39" s="1">
        <v>46013</v>
      </c>
      <c r="B39" s="17">
        <v>0.17899999999999999</v>
      </c>
      <c r="C39" s="17">
        <v>0.13200000000000001</v>
      </c>
      <c r="D39">
        <v>0.223</v>
      </c>
      <c r="E39">
        <v>0.3</v>
      </c>
      <c r="L39" s="94">
        <v>0.63</v>
      </c>
      <c r="M39" s="22">
        <v>0.37</v>
      </c>
    </row>
    <row r="40" spans="1:17" x14ac:dyDescent="0.3">
      <c r="A40" s="1">
        <v>46015</v>
      </c>
      <c r="B40" s="17">
        <v>0.22500000000000001</v>
      </c>
      <c r="C40" s="17">
        <v>0.16900000000000001</v>
      </c>
      <c r="E40">
        <v>0.28000000000000003</v>
      </c>
      <c r="L40" s="94">
        <v>0.63</v>
      </c>
      <c r="M40" s="22">
        <v>0.37</v>
      </c>
    </row>
    <row r="41" spans="1:17" x14ac:dyDescent="0.3">
      <c r="A41" s="1">
        <v>46017</v>
      </c>
      <c r="B41" s="17">
        <v>0.22500000000000001</v>
      </c>
      <c r="C41" s="17">
        <v>0.16900000000000001</v>
      </c>
      <c r="E41">
        <v>0.28000000000000003</v>
      </c>
      <c r="L41" s="94">
        <v>0.63</v>
      </c>
      <c r="M41" s="22">
        <v>0.37</v>
      </c>
    </row>
    <row r="42" spans="1:17" x14ac:dyDescent="0.3">
      <c r="A42" s="1">
        <v>46018</v>
      </c>
      <c r="B42" s="17">
        <v>0.155</v>
      </c>
      <c r="C42" s="17">
        <v>0.17399999999999999</v>
      </c>
      <c r="E42">
        <v>0.1</v>
      </c>
      <c r="L42" s="94">
        <v>0.63</v>
      </c>
      <c r="M42" s="22">
        <v>0.37</v>
      </c>
    </row>
    <row r="43" spans="1:17" x14ac:dyDescent="0.3">
      <c r="A43" s="1">
        <v>46019</v>
      </c>
      <c r="B43" s="17">
        <v>0.14399999999999999</v>
      </c>
      <c r="C43" s="17">
        <v>7.6999999999999999E-2</v>
      </c>
      <c r="D43">
        <v>0.12</v>
      </c>
      <c r="E43">
        <v>0.26</v>
      </c>
      <c r="L43" s="94">
        <v>0.63</v>
      </c>
      <c r="M43" s="22">
        <v>0.37</v>
      </c>
      <c r="N43">
        <v>223</v>
      </c>
      <c r="O43">
        <v>152</v>
      </c>
      <c r="Q43" s="56">
        <v>178057</v>
      </c>
    </row>
    <row r="44" spans="1:17" x14ac:dyDescent="0.3">
      <c r="A44" s="20">
        <v>46026</v>
      </c>
      <c r="B44" s="22">
        <v>0.15</v>
      </c>
      <c r="C44" s="22">
        <v>0.08</v>
      </c>
      <c r="D44" s="21">
        <v>0.12</v>
      </c>
      <c r="E44" s="21">
        <v>0.26</v>
      </c>
      <c r="F44" s="21"/>
      <c r="G44" s="21"/>
      <c r="H44" s="21"/>
      <c r="I44" s="21"/>
      <c r="J44" s="21"/>
      <c r="K44" s="21"/>
      <c r="L44" s="94">
        <v>0.47599999999999998</v>
      </c>
      <c r="M44" s="22">
        <v>0.37</v>
      </c>
      <c r="N44" s="21">
        <v>219</v>
      </c>
      <c r="O44" s="21">
        <v>149</v>
      </c>
      <c r="P44" s="21"/>
      <c r="Q44" s="57">
        <v>167334</v>
      </c>
    </row>
    <row r="45" spans="1:17" x14ac:dyDescent="0.3">
      <c r="A45" s="20">
        <v>46027</v>
      </c>
      <c r="B45" s="22">
        <v>0.17</v>
      </c>
      <c r="C45" s="22">
        <v>0.11</v>
      </c>
      <c r="D45" s="21">
        <v>0.15</v>
      </c>
      <c r="E45" s="21">
        <v>0.28000000000000003</v>
      </c>
      <c r="F45" s="21"/>
      <c r="G45" s="21"/>
      <c r="H45" s="21"/>
      <c r="I45" s="21"/>
      <c r="J45" s="21"/>
      <c r="K45" s="21"/>
      <c r="L45" s="94">
        <v>0.47599999999999998</v>
      </c>
      <c r="M45" s="22">
        <v>0.37</v>
      </c>
      <c r="N45" s="21">
        <v>200</v>
      </c>
      <c r="O45" s="21">
        <v>124</v>
      </c>
      <c r="P45" s="21"/>
      <c r="Q45" s="57">
        <v>180350</v>
      </c>
    </row>
    <row r="46" spans="1:17" x14ac:dyDescent="0.3">
      <c r="A46" s="20">
        <v>46028</v>
      </c>
      <c r="B46" s="17">
        <v>0.152</v>
      </c>
      <c r="C46" s="17">
        <v>0.11899999999999999</v>
      </c>
      <c r="D46">
        <v>0.15</v>
      </c>
      <c r="E46">
        <v>0.22</v>
      </c>
      <c r="L46" s="94">
        <v>0.47599999999999998</v>
      </c>
      <c r="M46" s="22">
        <v>0.37</v>
      </c>
      <c r="N46">
        <v>211</v>
      </c>
      <c r="O46">
        <v>126</v>
      </c>
      <c r="Q46" s="56">
        <v>181654</v>
      </c>
    </row>
    <row r="47" spans="1:17" x14ac:dyDescent="0.3">
      <c r="A47" s="20">
        <v>46029</v>
      </c>
      <c r="B47" s="17">
        <v>0.16200000000000001</v>
      </c>
      <c r="C47" s="17">
        <v>0.13300000000000001</v>
      </c>
      <c r="D47">
        <v>0.18</v>
      </c>
      <c r="E47">
        <v>0.25</v>
      </c>
      <c r="L47" s="94">
        <v>0.47599999999999998</v>
      </c>
      <c r="M47" s="6">
        <v>0.37</v>
      </c>
      <c r="N47">
        <v>203</v>
      </c>
      <c r="O47">
        <v>118</v>
      </c>
      <c r="Q47" s="56">
        <v>170870</v>
      </c>
    </row>
    <row r="48" spans="1:17" x14ac:dyDescent="0.3">
      <c r="A48" s="1">
        <v>45665</v>
      </c>
      <c r="B48" s="17">
        <v>0.156</v>
      </c>
      <c r="C48" s="17">
        <v>0.11700000000000001</v>
      </c>
      <c r="D48">
        <v>0.18</v>
      </c>
      <c r="E48">
        <v>0.26</v>
      </c>
      <c r="L48" s="94">
        <v>0.47599999999999998</v>
      </c>
      <c r="M48" s="6">
        <v>0.37</v>
      </c>
      <c r="N48">
        <v>210</v>
      </c>
      <c r="O48">
        <v>128</v>
      </c>
      <c r="Q48" s="56">
        <v>183427</v>
      </c>
    </row>
    <row r="49" spans="1:17" x14ac:dyDescent="0.3">
      <c r="A49" s="1">
        <v>45666</v>
      </c>
      <c r="B49" s="17">
        <v>0.22500000000000001</v>
      </c>
      <c r="C49" s="17">
        <v>0.20599999999999999</v>
      </c>
      <c r="D49">
        <v>0.56999999999999995</v>
      </c>
      <c r="E49">
        <v>0.8</v>
      </c>
      <c r="L49" s="94">
        <v>0.47599999999999998</v>
      </c>
      <c r="M49" s="6">
        <v>0.37</v>
      </c>
      <c r="N49">
        <v>183</v>
      </c>
      <c r="O49">
        <v>119</v>
      </c>
      <c r="Q49" s="56">
        <v>125942</v>
      </c>
    </row>
    <row r="50" spans="1:17" x14ac:dyDescent="0.3">
      <c r="A50" s="1">
        <v>46034</v>
      </c>
      <c r="B50" s="17">
        <v>0.17699999999999999</v>
      </c>
      <c r="C50" s="17">
        <v>0.14000000000000001</v>
      </c>
      <c r="D50">
        <v>0.15</v>
      </c>
      <c r="E50">
        <v>0.24299999999999999</v>
      </c>
      <c r="L50" s="94">
        <v>0.47599999999999998</v>
      </c>
      <c r="M50" s="6">
        <v>0.374</v>
      </c>
      <c r="N50">
        <v>187</v>
      </c>
      <c r="O50">
        <v>111</v>
      </c>
      <c r="Q50" s="56">
        <v>1521853</v>
      </c>
    </row>
    <row r="51" spans="1:17" x14ac:dyDescent="0.3">
      <c r="A51" s="1">
        <v>46035</v>
      </c>
      <c r="B51" s="17">
        <v>0.19900000000000001</v>
      </c>
      <c r="C51" s="17">
        <v>0.154</v>
      </c>
      <c r="D51">
        <v>0.13</v>
      </c>
      <c r="E51">
        <v>0.23799999999999999</v>
      </c>
      <c r="G51">
        <v>0.22</v>
      </c>
      <c r="J51">
        <v>0.01</v>
      </c>
      <c r="L51" s="94">
        <v>0.47599999999999998</v>
      </c>
      <c r="M51" s="6">
        <v>0.37</v>
      </c>
      <c r="N51">
        <v>166</v>
      </c>
      <c r="O51">
        <v>98</v>
      </c>
      <c r="Q51" s="56">
        <v>126303</v>
      </c>
    </row>
    <row r="52" spans="1:17" x14ac:dyDescent="0.3">
      <c r="A52" s="1">
        <v>46036</v>
      </c>
      <c r="B52" s="17">
        <v>0.19</v>
      </c>
      <c r="C52" s="17">
        <v>0.153</v>
      </c>
      <c r="D52">
        <v>0.11</v>
      </c>
      <c r="E52">
        <v>0.217</v>
      </c>
      <c r="G52">
        <v>0.21</v>
      </c>
      <c r="J52">
        <v>0.02</v>
      </c>
      <c r="L52" s="94">
        <v>0.47599999999999998</v>
      </c>
      <c r="M52" s="6">
        <v>0.37</v>
      </c>
      <c r="N52">
        <v>172</v>
      </c>
      <c r="O52">
        <v>100</v>
      </c>
      <c r="Q52" s="56">
        <v>133015</v>
      </c>
    </row>
    <row r="53" spans="1:17" x14ac:dyDescent="0.3">
      <c r="A53" s="1">
        <v>46037</v>
      </c>
      <c r="B53" s="17">
        <v>0.17299999999999999</v>
      </c>
      <c r="C53" s="17">
        <v>0.13900000000000001</v>
      </c>
      <c r="D53">
        <v>0.19</v>
      </c>
      <c r="E53">
        <v>0.27800000000000002</v>
      </c>
      <c r="G53">
        <v>0.18</v>
      </c>
      <c r="J53">
        <v>0.02</v>
      </c>
      <c r="L53" s="94">
        <v>0.47599999999999998</v>
      </c>
      <c r="M53" s="6">
        <v>0.37</v>
      </c>
      <c r="N53">
        <v>196</v>
      </c>
      <c r="O53">
        <v>117</v>
      </c>
      <c r="Q53" s="56">
        <v>170269</v>
      </c>
    </row>
    <row r="54" spans="1:17" x14ac:dyDescent="0.3">
      <c r="A54" s="1">
        <v>46038</v>
      </c>
      <c r="B54" s="17">
        <v>0.18</v>
      </c>
      <c r="C54" s="17">
        <v>0.14499999999999999</v>
      </c>
      <c r="D54">
        <v>0.27</v>
      </c>
      <c r="E54">
        <v>0.28299999999999997</v>
      </c>
      <c r="G54">
        <v>0.24</v>
      </c>
      <c r="J54">
        <v>0.02</v>
      </c>
      <c r="L54" s="94">
        <v>0.47599999999999998</v>
      </c>
      <c r="M54" s="6">
        <v>0.37</v>
      </c>
      <c r="N54">
        <v>176</v>
      </c>
      <c r="O54">
        <v>106</v>
      </c>
      <c r="Q54" s="56">
        <v>150194</v>
      </c>
    </row>
    <row r="55" spans="1:17" x14ac:dyDescent="0.3">
      <c r="A55" s="1">
        <v>46039</v>
      </c>
      <c r="B55" s="17">
        <v>0.13700000000000001</v>
      </c>
      <c r="C55" s="17">
        <v>7.6999999999999999E-2</v>
      </c>
      <c r="D55">
        <v>0.83</v>
      </c>
      <c r="E55">
        <v>0.85599999999999998</v>
      </c>
      <c r="G55">
        <v>0.39</v>
      </c>
      <c r="J55">
        <v>0.93</v>
      </c>
      <c r="L55" s="94">
        <v>0.47599999999999998</v>
      </c>
      <c r="M55" s="6">
        <v>0.37</v>
      </c>
    </row>
    <row r="56" spans="1:17" x14ac:dyDescent="0.3">
      <c r="A56" s="1">
        <v>46041</v>
      </c>
      <c r="B56" s="17">
        <v>0.186</v>
      </c>
      <c r="C56" s="17">
        <v>0.13900000000000001</v>
      </c>
      <c r="D56">
        <v>0.09</v>
      </c>
      <c r="E56">
        <v>0.25</v>
      </c>
      <c r="G56">
        <v>0.16</v>
      </c>
      <c r="J56">
        <v>0.02</v>
      </c>
      <c r="L56" s="94">
        <v>0.47599999999999998</v>
      </c>
      <c r="M56" s="6">
        <v>0.37</v>
      </c>
      <c r="N56">
        <v>182</v>
      </c>
      <c r="O56">
        <v>108</v>
      </c>
      <c r="Q56" s="56">
        <v>144632</v>
      </c>
    </row>
    <row r="57" spans="1:17" x14ac:dyDescent="0.3">
      <c r="A57" s="1">
        <v>46042</v>
      </c>
      <c r="B57" s="17">
        <v>0.14199999999999999</v>
      </c>
      <c r="C57" s="17">
        <v>0.106</v>
      </c>
      <c r="D57">
        <v>0.15</v>
      </c>
      <c r="E57">
        <v>0.21</v>
      </c>
      <c r="G57">
        <v>0.16</v>
      </c>
      <c r="J57">
        <v>0.02</v>
      </c>
      <c r="L57" s="94">
        <v>0.47599999999999998</v>
      </c>
      <c r="M57" s="6">
        <v>0.37</v>
      </c>
      <c r="N57">
        <v>229</v>
      </c>
      <c r="O57">
        <v>139</v>
      </c>
      <c r="Q57" s="56">
        <v>180105</v>
      </c>
    </row>
    <row r="58" spans="1:17" x14ac:dyDescent="0.3">
      <c r="A58" s="1">
        <v>46043</v>
      </c>
      <c r="B58" s="17">
        <v>0.13900000000000001</v>
      </c>
      <c r="C58" s="17">
        <v>0.12</v>
      </c>
      <c r="D58">
        <v>0.2</v>
      </c>
      <c r="E58">
        <v>0.22</v>
      </c>
      <c r="G58">
        <v>0.2</v>
      </c>
      <c r="J58">
        <v>0.04</v>
      </c>
      <c r="L58" s="94">
        <v>0.47599999999999998</v>
      </c>
      <c r="M58" s="6">
        <v>0.37</v>
      </c>
      <c r="N58">
        <v>234</v>
      </c>
      <c r="O58">
        <v>135</v>
      </c>
      <c r="Q58" s="56">
        <v>183402</v>
      </c>
    </row>
    <row r="59" spans="1:17" x14ac:dyDescent="0.3">
      <c r="A59" s="1">
        <v>46044</v>
      </c>
      <c r="B59" s="17">
        <v>0.12</v>
      </c>
      <c r="C59" s="17">
        <v>0.10100000000000001</v>
      </c>
      <c r="D59">
        <v>0.22</v>
      </c>
      <c r="E59">
        <v>0.26700000000000002</v>
      </c>
      <c r="G59">
        <v>0.21</v>
      </c>
      <c r="J59">
        <v>0.04</v>
      </c>
      <c r="L59" s="94">
        <v>0.47599999999999998</v>
      </c>
      <c r="M59" s="6">
        <v>0.37</v>
      </c>
      <c r="N59">
        <v>273</v>
      </c>
      <c r="O59">
        <v>160</v>
      </c>
      <c r="Q59" s="56">
        <v>224745</v>
      </c>
    </row>
    <row r="60" spans="1:17" x14ac:dyDescent="0.3">
      <c r="A60" s="1">
        <v>46045</v>
      </c>
      <c r="B60" s="17">
        <v>0.15</v>
      </c>
      <c r="C60" s="17">
        <v>0.121</v>
      </c>
      <c r="D60">
        <v>0.64</v>
      </c>
      <c r="E60">
        <v>0.45500000000000002</v>
      </c>
      <c r="G60">
        <v>0.36</v>
      </c>
      <c r="J60">
        <v>0.04</v>
      </c>
      <c r="L60" s="94">
        <v>0.47599999999999998</v>
      </c>
      <c r="M60" s="6">
        <v>0.37</v>
      </c>
      <c r="N60">
        <v>243</v>
      </c>
      <c r="O60">
        <v>145</v>
      </c>
      <c r="Q60" s="56">
        <v>191848</v>
      </c>
    </row>
    <row r="61" spans="1:17" x14ac:dyDescent="0.3">
      <c r="A61" s="1">
        <v>46046</v>
      </c>
      <c r="B61" s="17">
        <v>0.14000000000000001</v>
      </c>
      <c r="C61" s="17">
        <v>8.4000000000000005E-2</v>
      </c>
      <c r="D61">
        <v>0.83</v>
      </c>
      <c r="E61">
        <v>0.92</v>
      </c>
      <c r="G61">
        <v>0.84</v>
      </c>
      <c r="J61">
        <v>0.22</v>
      </c>
      <c r="L61" s="94">
        <v>0.47599999999999998</v>
      </c>
      <c r="M61" s="6">
        <v>0.37</v>
      </c>
      <c r="N61">
        <v>316</v>
      </c>
      <c r="O61">
        <v>211</v>
      </c>
      <c r="Q61" s="56">
        <v>192445</v>
      </c>
    </row>
    <row r="62" spans="1:17" x14ac:dyDescent="0.3">
      <c r="A62" s="1">
        <v>46047</v>
      </c>
      <c r="B62" s="17">
        <v>0.125</v>
      </c>
      <c r="C62" s="17">
        <v>8.1000000000000003E-2</v>
      </c>
      <c r="D62">
        <v>0.09</v>
      </c>
      <c r="E62">
        <v>0.23</v>
      </c>
      <c r="G62">
        <v>0.1</v>
      </c>
      <c r="J62">
        <v>0.03</v>
      </c>
      <c r="L62" s="94">
        <v>0.47599999999999998</v>
      </c>
      <c r="M62" s="6">
        <v>0.37</v>
      </c>
      <c r="N62">
        <v>273</v>
      </c>
      <c r="O62">
        <v>166</v>
      </c>
      <c r="Q62" s="56">
        <v>107407</v>
      </c>
    </row>
    <row r="63" spans="1:17" x14ac:dyDescent="0.3">
      <c r="A63" s="1">
        <v>46048</v>
      </c>
      <c r="B63" s="17">
        <v>0.155</v>
      </c>
      <c r="C63" s="17">
        <v>0.11700000000000001</v>
      </c>
      <c r="D63">
        <v>0.15</v>
      </c>
      <c r="E63">
        <v>0.27800000000000002</v>
      </c>
      <c r="G63">
        <v>0.24</v>
      </c>
      <c r="J63">
        <v>0.02</v>
      </c>
      <c r="L63" s="94">
        <v>0.47599999999999998</v>
      </c>
      <c r="M63" s="6">
        <v>0.37</v>
      </c>
      <c r="N63">
        <v>219</v>
      </c>
      <c r="O63">
        <v>130</v>
      </c>
      <c r="Q63" s="56">
        <v>159184</v>
      </c>
    </row>
    <row r="64" spans="1:17" x14ac:dyDescent="0.3">
      <c r="A64" s="1">
        <v>46049</v>
      </c>
      <c r="B64" s="17">
        <v>0.152</v>
      </c>
      <c r="C64" s="17">
        <v>0.11700000000000001</v>
      </c>
      <c r="D64">
        <v>0.09</v>
      </c>
      <c r="E64">
        <v>0.24299999999999999</v>
      </c>
      <c r="G64">
        <v>0.19</v>
      </c>
      <c r="J64">
        <v>0.03</v>
      </c>
      <c r="L64" s="94">
        <v>0.47599999999999998</v>
      </c>
      <c r="M64" s="6">
        <v>0.37</v>
      </c>
      <c r="N64">
        <v>222</v>
      </c>
      <c r="O64">
        <v>131</v>
      </c>
      <c r="Q64" s="56">
        <v>150830</v>
      </c>
    </row>
    <row r="65" spans="1:17" x14ac:dyDescent="0.3">
      <c r="A65" s="1">
        <v>46050</v>
      </c>
      <c r="B65" s="17">
        <v>0.127</v>
      </c>
      <c r="C65" s="17">
        <v>8.8999999999999996E-2</v>
      </c>
      <c r="D65">
        <v>7.0000000000000007E-2</v>
      </c>
      <c r="E65">
        <v>0.28000000000000003</v>
      </c>
      <c r="G65">
        <v>0.2</v>
      </c>
      <c r="J65">
        <v>0.01</v>
      </c>
      <c r="L65" s="94">
        <v>0.47599999999999998</v>
      </c>
      <c r="M65" s="6">
        <v>0.37</v>
      </c>
      <c r="N65">
        <v>265</v>
      </c>
      <c r="O65">
        <v>160</v>
      </c>
      <c r="Q65" s="56">
        <v>202424</v>
      </c>
    </row>
    <row r="66" spans="1:17" x14ac:dyDescent="0.3">
      <c r="A66" s="1">
        <v>46051</v>
      </c>
      <c r="B66" s="17">
        <v>0.121</v>
      </c>
      <c r="C66" s="17">
        <v>8.5999999999999993E-2</v>
      </c>
      <c r="D66">
        <v>0.06</v>
      </c>
      <c r="E66">
        <v>0.255</v>
      </c>
      <c r="G66">
        <v>0.18</v>
      </c>
      <c r="J66">
        <v>0.06</v>
      </c>
      <c r="L66" s="94">
        <v>0.47599999999999998</v>
      </c>
      <c r="M66" s="6">
        <v>0.37</v>
      </c>
      <c r="N66">
        <v>285</v>
      </c>
      <c r="O66">
        <v>171</v>
      </c>
      <c r="Q66" s="56">
        <v>211148</v>
      </c>
    </row>
    <row r="67" spans="1:17" x14ac:dyDescent="0.3">
      <c r="A67" s="1">
        <v>46052</v>
      </c>
      <c r="B67" s="17">
        <v>0.14000000000000001</v>
      </c>
      <c r="C67" s="17">
        <v>0.107</v>
      </c>
      <c r="L67" s="94">
        <v>0.47599999999999998</v>
      </c>
      <c r="M67" s="6">
        <v>0.37</v>
      </c>
      <c r="N67">
        <v>277</v>
      </c>
      <c r="O67">
        <v>165</v>
      </c>
      <c r="Q67" s="56">
        <v>187889</v>
      </c>
    </row>
    <row r="68" spans="1:17" x14ac:dyDescent="0.3">
      <c r="A68" s="1">
        <v>46053</v>
      </c>
      <c r="B68" s="17">
        <v>0.13200000000000001</v>
      </c>
      <c r="C68" s="17">
        <v>9.4E-2</v>
      </c>
      <c r="L68" s="94">
        <v>0.47599999999999998</v>
      </c>
      <c r="M68" s="6">
        <v>0.37</v>
      </c>
      <c r="N68">
        <v>312</v>
      </c>
      <c r="O68">
        <v>195</v>
      </c>
      <c r="Q68" s="56">
        <v>93073</v>
      </c>
    </row>
    <row r="69" spans="1:17" x14ac:dyDescent="0.3">
      <c r="A69" s="1">
        <v>46055</v>
      </c>
      <c r="B69" s="17">
        <v>0.16500000000000001</v>
      </c>
      <c r="C69" s="17">
        <v>0.114</v>
      </c>
      <c r="D69">
        <v>0.1</v>
      </c>
      <c r="E69">
        <v>0.32</v>
      </c>
      <c r="G69">
        <v>0.05</v>
      </c>
      <c r="J69">
        <v>0.17</v>
      </c>
      <c r="L69" s="93">
        <v>0.49099999999999999</v>
      </c>
      <c r="M69" s="6">
        <v>0.37</v>
      </c>
      <c r="N69">
        <v>213</v>
      </c>
      <c r="O69">
        <v>129</v>
      </c>
      <c r="Q69" s="56">
        <v>157576</v>
      </c>
    </row>
    <row r="70" spans="1:17" x14ac:dyDescent="0.3">
      <c r="A70" s="1">
        <v>46056</v>
      </c>
      <c r="B70" s="17">
        <v>0.125</v>
      </c>
      <c r="C70" s="17">
        <v>8.7999999999999995E-2</v>
      </c>
      <c r="D70">
        <v>0.13</v>
      </c>
      <c r="E70">
        <v>0.24</v>
      </c>
      <c r="G70">
        <v>0.13</v>
      </c>
      <c r="J70">
        <v>0.02</v>
      </c>
      <c r="L70" s="93">
        <v>0.49099999999999999</v>
      </c>
      <c r="M70" s="6">
        <v>0.37</v>
      </c>
      <c r="N70">
        <v>265</v>
      </c>
      <c r="O70">
        <v>160</v>
      </c>
      <c r="Q70" s="56">
        <v>190912</v>
      </c>
    </row>
    <row r="71" spans="1:17" x14ac:dyDescent="0.3">
      <c r="A71" s="1">
        <v>46057</v>
      </c>
      <c r="B71" s="17">
        <v>0.14299999999999999</v>
      </c>
      <c r="C71" s="17">
        <v>9.4E-2</v>
      </c>
      <c r="D71">
        <v>0.08</v>
      </c>
      <c r="E71">
        <v>0.25</v>
      </c>
      <c r="G71">
        <v>0.17</v>
      </c>
      <c r="J71">
        <v>0.12</v>
      </c>
      <c r="L71" s="93">
        <v>0.49099999999999999</v>
      </c>
      <c r="M71" s="6">
        <v>0.37</v>
      </c>
      <c r="N71">
        <v>238</v>
      </c>
      <c r="O71">
        <v>148</v>
      </c>
      <c r="Q71" s="56">
        <v>197768</v>
      </c>
    </row>
    <row r="72" spans="1:17" x14ac:dyDescent="0.3">
      <c r="A72" s="1">
        <v>46058</v>
      </c>
      <c r="B72" s="17">
        <v>0.154</v>
      </c>
      <c r="C72" s="17">
        <v>0.106</v>
      </c>
      <c r="D72">
        <v>0.09</v>
      </c>
      <c r="E72">
        <v>0.27</v>
      </c>
      <c r="G72">
        <v>0.23</v>
      </c>
      <c r="J72">
        <v>0.05</v>
      </c>
      <c r="L72" s="93">
        <v>0.49099999999999999</v>
      </c>
      <c r="M72" s="6">
        <v>0.37</v>
      </c>
      <c r="N72">
        <v>222</v>
      </c>
      <c r="O72">
        <v>137</v>
      </c>
      <c r="Q72" s="56">
        <v>180460</v>
      </c>
    </row>
    <row r="73" spans="1:17" x14ac:dyDescent="0.3">
      <c r="A73" s="1">
        <v>46059</v>
      </c>
      <c r="L73" s="93">
        <v>0.49099999999999999</v>
      </c>
    </row>
    <row r="74" spans="1:17" x14ac:dyDescent="0.3">
      <c r="A74" s="1">
        <v>46062</v>
      </c>
      <c r="B74" s="17">
        <v>0.14599999999999999</v>
      </c>
      <c r="C74" s="17">
        <v>9.7000000000000003E-2</v>
      </c>
      <c r="D74">
        <v>0.12</v>
      </c>
      <c r="E74">
        <v>0.24299999999999999</v>
      </c>
      <c r="G74">
        <v>0.16</v>
      </c>
      <c r="J74">
        <v>7.0000000000000007E-2</v>
      </c>
      <c r="L74" s="93">
        <v>0.49099999999999999</v>
      </c>
      <c r="M74" s="6">
        <v>0.37</v>
      </c>
      <c r="N74">
        <v>233</v>
      </c>
      <c r="O74">
        <v>143</v>
      </c>
      <c r="Q74" s="56">
        <v>183214</v>
      </c>
    </row>
    <row r="75" spans="1:17" x14ac:dyDescent="0.3">
      <c r="A75" s="1">
        <v>46063</v>
      </c>
      <c r="B75" s="17">
        <v>0.159</v>
      </c>
      <c r="C75" s="17">
        <v>0.126</v>
      </c>
      <c r="D75">
        <v>0.11</v>
      </c>
      <c r="E75">
        <v>0.2</v>
      </c>
      <c r="G75">
        <v>0.21</v>
      </c>
      <c r="J75">
        <v>0.06</v>
      </c>
      <c r="L75" s="93">
        <v>0.49099999999999999</v>
      </c>
      <c r="M75" s="6">
        <v>0.37</v>
      </c>
      <c r="N75">
        <v>204</v>
      </c>
      <c r="O75">
        <v>120</v>
      </c>
      <c r="Q75" s="56">
        <v>148118</v>
      </c>
    </row>
    <row r="76" spans="1:17" x14ac:dyDescent="0.3">
      <c r="A76" s="1">
        <v>46064</v>
      </c>
      <c r="B76" s="17">
        <v>0.14099999999999999</v>
      </c>
      <c r="C76" s="17">
        <v>9.9000000000000005E-2</v>
      </c>
      <c r="D76">
        <v>0.06</v>
      </c>
      <c r="E76">
        <v>0.22</v>
      </c>
      <c r="G76">
        <v>0.19</v>
      </c>
      <c r="J76">
        <v>0.09</v>
      </c>
      <c r="L76" s="93">
        <v>0.49099999999999999</v>
      </c>
      <c r="M76" s="6">
        <v>0.37</v>
      </c>
      <c r="N76">
        <v>235</v>
      </c>
      <c r="O76">
        <v>144</v>
      </c>
      <c r="Q76" s="56">
        <v>181200</v>
      </c>
    </row>
    <row r="77" spans="1:17" x14ac:dyDescent="0.3">
      <c r="A77" s="1">
        <v>46065</v>
      </c>
      <c r="B77" s="17">
        <v>0.13700000000000001</v>
      </c>
      <c r="C77" s="17">
        <v>9.9000000000000005E-2</v>
      </c>
      <c r="D77">
        <v>0.12</v>
      </c>
      <c r="E77">
        <v>0.23599999999999999</v>
      </c>
      <c r="G77">
        <v>0.17</v>
      </c>
      <c r="J77">
        <v>0.06</v>
      </c>
      <c r="L77" s="93">
        <v>0.49099999999999999</v>
      </c>
      <c r="M77" s="6">
        <v>0.37</v>
      </c>
      <c r="N77">
        <v>242</v>
      </c>
      <c r="O77">
        <v>146</v>
      </c>
      <c r="Q77" s="56">
        <v>183383</v>
      </c>
    </row>
    <row r="78" spans="1:17" x14ac:dyDescent="0.3">
      <c r="A78" s="1">
        <v>46066</v>
      </c>
      <c r="B78" s="17">
        <v>0.13400000000000001</v>
      </c>
      <c r="C78" s="17">
        <v>9.6000000000000002E-2</v>
      </c>
      <c r="D78">
        <v>0.21</v>
      </c>
      <c r="E78">
        <v>0.25600000000000001</v>
      </c>
      <c r="G78">
        <v>0.18</v>
      </c>
      <c r="J78">
        <v>0.12</v>
      </c>
      <c r="L78" s="93">
        <v>0.49099999999999999</v>
      </c>
      <c r="M78" s="6">
        <v>0.37</v>
      </c>
      <c r="N78">
        <v>256</v>
      </c>
      <c r="O78">
        <v>155</v>
      </c>
      <c r="Q78" s="56">
        <v>191348</v>
      </c>
    </row>
    <row r="79" spans="1:17" x14ac:dyDescent="0.3">
      <c r="A79" s="1">
        <v>46069</v>
      </c>
      <c r="B79" s="17">
        <v>0.153</v>
      </c>
      <c r="C79" s="17">
        <v>9.2999999999999999E-2</v>
      </c>
      <c r="D79">
        <v>0.1</v>
      </c>
      <c r="E79">
        <v>0.28499999999999998</v>
      </c>
      <c r="G79">
        <v>0.18</v>
      </c>
      <c r="J79">
        <v>0.08</v>
      </c>
      <c r="L79" s="93">
        <v>0.49099999999999999</v>
      </c>
      <c r="M79" s="6">
        <v>0.37</v>
      </c>
      <c r="N79">
        <v>229</v>
      </c>
      <c r="O79">
        <v>146</v>
      </c>
      <c r="Q79" s="56">
        <v>180431</v>
      </c>
    </row>
    <row r="80" spans="1:17" x14ac:dyDescent="0.3">
      <c r="A80" s="1">
        <v>46070</v>
      </c>
      <c r="B80" s="17">
        <v>0.158</v>
      </c>
      <c r="C80" s="17">
        <v>0.1</v>
      </c>
      <c r="D80">
        <v>0.05</v>
      </c>
      <c r="E80">
        <v>0.25800000000000001</v>
      </c>
      <c r="G80">
        <v>0.13</v>
      </c>
      <c r="J80">
        <v>7.0000000000000007E-2</v>
      </c>
      <c r="L80" s="93">
        <v>0.49099999999999999</v>
      </c>
      <c r="M80" s="6">
        <v>0.37</v>
      </c>
      <c r="N80">
        <v>217</v>
      </c>
      <c r="O80">
        <v>136</v>
      </c>
      <c r="Q80" s="56">
        <v>164384</v>
      </c>
    </row>
    <row r="81" spans="1:17" x14ac:dyDescent="0.3">
      <c r="A81" s="1">
        <v>46071</v>
      </c>
      <c r="B81" s="17">
        <v>0.16200000000000001</v>
      </c>
      <c r="C81" s="17">
        <v>9.1999999999999998E-2</v>
      </c>
      <c r="D81">
        <v>0.11</v>
      </c>
      <c r="E81">
        <v>0.30299999999999999</v>
      </c>
      <c r="G81">
        <v>0.2</v>
      </c>
      <c r="J81">
        <v>0.08</v>
      </c>
      <c r="L81" s="93">
        <v>0.49099999999999999</v>
      </c>
      <c r="M81" s="6">
        <v>0.37</v>
      </c>
      <c r="N81">
        <v>231</v>
      </c>
      <c r="O81">
        <v>149</v>
      </c>
      <c r="Q81" s="56">
        <v>197627</v>
      </c>
    </row>
    <row r="82" spans="1:17" x14ac:dyDescent="0.3">
      <c r="A82" s="1">
        <v>46072</v>
      </c>
      <c r="B82" s="17">
        <v>0.13800000000000001</v>
      </c>
      <c r="C82" s="17">
        <v>9.1999999999999998E-2</v>
      </c>
      <c r="D82">
        <v>0.11</v>
      </c>
      <c r="E82">
        <v>0.27900000000000003</v>
      </c>
      <c r="G82">
        <v>0.13</v>
      </c>
      <c r="J82">
        <v>0.19</v>
      </c>
      <c r="L82" s="93">
        <v>0.49099999999999999</v>
      </c>
      <c r="M82" s="6">
        <v>0.37</v>
      </c>
      <c r="N82">
        <v>252</v>
      </c>
      <c r="O82">
        <v>156</v>
      </c>
      <c r="Q82" s="56">
        <v>194908</v>
      </c>
    </row>
    <row r="83" spans="1:17" x14ac:dyDescent="0.3">
      <c r="A83" s="1">
        <v>46076</v>
      </c>
      <c r="B83" s="17">
        <v>0.152</v>
      </c>
      <c r="C83" s="17">
        <v>0.11</v>
      </c>
      <c r="D83">
        <v>0.15</v>
      </c>
      <c r="E83">
        <v>0.25</v>
      </c>
      <c r="G83">
        <v>0.16</v>
      </c>
      <c r="J83">
        <v>0.09</v>
      </c>
      <c r="L83" s="93">
        <v>0.49099999999999999</v>
      </c>
      <c r="M83" s="6">
        <v>0.37</v>
      </c>
      <c r="N83">
        <v>224</v>
      </c>
      <c r="O83">
        <v>133</v>
      </c>
      <c r="Q83" s="56">
        <v>165641</v>
      </c>
    </row>
    <row r="84" spans="1:17" x14ac:dyDescent="0.3">
      <c r="A84" s="1">
        <v>46077</v>
      </c>
      <c r="B84" s="17">
        <v>0.14099999999999999</v>
      </c>
      <c r="C84" s="17">
        <v>9.0999999999999998E-2</v>
      </c>
      <c r="D84">
        <v>0.13</v>
      </c>
      <c r="E84">
        <v>0.27700000000000002</v>
      </c>
      <c r="G84">
        <v>0.16</v>
      </c>
      <c r="J84">
        <v>0.06</v>
      </c>
      <c r="L84" s="93">
        <v>0.49099999999999999</v>
      </c>
      <c r="M84" s="6">
        <v>0.37</v>
      </c>
      <c r="N84">
        <v>244</v>
      </c>
      <c r="O84">
        <v>150</v>
      </c>
      <c r="Q84" s="56">
        <v>200254</v>
      </c>
    </row>
    <row r="85" spans="1:17" x14ac:dyDescent="0.3">
      <c r="A85" s="1">
        <v>46078</v>
      </c>
      <c r="B85" s="17">
        <v>0.106</v>
      </c>
      <c r="C85" s="17">
        <v>8.1000000000000003E-2</v>
      </c>
      <c r="D85">
        <v>0.14000000000000001</v>
      </c>
      <c r="E85">
        <v>0.249</v>
      </c>
      <c r="G85">
        <v>0.17</v>
      </c>
      <c r="J85">
        <v>0.08</v>
      </c>
      <c r="L85" s="93">
        <v>0.49099999999999999</v>
      </c>
      <c r="M85" s="6">
        <v>0.37</v>
      </c>
      <c r="N85">
        <v>320</v>
      </c>
      <c r="O85">
        <v>185</v>
      </c>
      <c r="Q85" s="56">
        <v>223514</v>
      </c>
    </row>
    <row r="86" spans="1:17" x14ac:dyDescent="0.3">
      <c r="A86" s="1">
        <v>46081</v>
      </c>
      <c r="B86" s="17">
        <v>0.14299999999999999</v>
      </c>
      <c r="C86" s="17">
        <v>0.106</v>
      </c>
      <c r="D86">
        <v>0.13</v>
      </c>
      <c r="E86">
        <v>0.25</v>
      </c>
      <c r="G86">
        <v>0.17</v>
      </c>
      <c r="J86">
        <v>0.11</v>
      </c>
      <c r="L86" s="93">
        <v>0.49099999999999999</v>
      </c>
      <c r="M86" s="6">
        <v>0.37</v>
      </c>
      <c r="N86">
        <v>241</v>
      </c>
      <c r="O86">
        <v>143</v>
      </c>
      <c r="Q86" s="56">
        <v>165000</v>
      </c>
    </row>
    <row r="87" spans="1:17" x14ac:dyDescent="0.3">
      <c r="A87" s="1">
        <v>46083</v>
      </c>
      <c r="B87" s="17">
        <v>0.161</v>
      </c>
      <c r="C87" s="17">
        <v>0.09</v>
      </c>
      <c r="D87">
        <v>0.19</v>
      </c>
      <c r="E87">
        <v>0.25</v>
      </c>
      <c r="G87">
        <v>0.06</v>
      </c>
      <c r="J87">
        <v>0.04</v>
      </c>
      <c r="L87" s="93">
        <v>0.45</v>
      </c>
      <c r="M87" s="6">
        <v>0.37</v>
      </c>
      <c r="N87">
        <v>190</v>
      </c>
      <c r="O87">
        <v>123</v>
      </c>
      <c r="Q87" s="56">
        <v>181766</v>
      </c>
    </row>
    <row r="88" spans="1:17" x14ac:dyDescent="0.3">
      <c r="A88" s="1">
        <v>46084</v>
      </c>
      <c r="B88" s="17">
        <v>0.16900000000000001</v>
      </c>
      <c r="C88" s="17">
        <v>0.10199999999999999</v>
      </c>
      <c r="D88">
        <v>0.16</v>
      </c>
      <c r="E88">
        <v>0.25</v>
      </c>
      <c r="G88">
        <v>0.08</v>
      </c>
      <c r="J88">
        <v>0.06</v>
      </c>
      <c r="L88" s="93">
        <v>0.45</v>
      </c>
      <c r="M88" s="6">
        <v>0.37</v>
      </c>
      <c r="N88">
        <v>225</v>
      </c>
      <c r="O88">
        <v>155</v>
      </c>
      <c r="Q88" s="56">
        <v>146216</v>
      </c>
    </row>
    <row r="89" spans="1:17" x14ac:dyDescent="0.3">
      <c r="A89" s="1">
        <v>46085</v>
      </c>
      <c r="B89" s="17">
        <v>0.156</v>
      </c>
      <c r="C89" s="17">
        <v>7.8E-2</v>
      </c>
      <c r="D89">
        <v>0.17</v>
      </c>
      <c r="E89">
        <v>0.29499999999999998</v>
      </c>
      <c r="G89">
        <v>0.12</v>
      </c>
      <c r="J89">
        <v>0.15</v>
      </c>
      <c r="L89" s="93">
        <v>0.45</v>
      </c>
      <c r="M89" s="6">
        <v>0.37</v>
      </c>
      <c r="N89">
        <v>225</v>
      </c>
      <c r="O89">
        <v>55</v>
      </c>
      <c r="Q89" s="56">
        <v>191130</v>
      </c>
    </row>
    <row r="90" spans="1:17" x14ac:dyDescent="0.3">
      <c r="A90" s="1">
        <v>46090</v>
      </c>
      <c r="B90" s="17">
        <v>0.13100000000000001</v>
      </c>
      <c r="C90" s="17">
        <v>0.09</v>
      </c>
      <c r="D90">
        <v>0.14000000000000001</v>
      </c>
      <c r="E90">
        <v>0.222</v>
      </c>
      <c r="G90">
        <v>0.11</v>
      </c>
      <c r="J90">
        <v>0.08</v>
      </c>
      <c r="L90" s="93">
        <v>0.45</v>
      </c>
      <c r="M90" s="6">
        <v>0.37</v>
      </c>
      <c r="N90">
        <v>257</v>
      </c>
      <c r="O90">
        <v>159</v>
      </c>
      <c r="Q90" s="56">
        <v>155803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BFB4-B57D-447C-A2F0-3D72EE7A6B86}">
  <dimension ref="A1:H93"/>
  <sheetViews>
    <sheetView workbookViewId="0">
      <pane xSplit="1" ySplit="1" topLeftCell="B81" activePane="bottomRight" state="frozen"/>
      <selection pane="topRight" activeCell="C1" sqref="C1"/>
      <selection pane="bottomLeft" activeCell="A2" sqref="A2"/>
      <selection pane="bottomRight" activeCell="D93" sqref="D93"/>
    </sheetView>
  </sheetViews>
  <sheetFormatPr defaultRowHeight="14.4" x14ac:dyDescent="0.3"/>
  <cols>
    <col min="1" max="1" width="10.5546875" style="1" bestFit="1" customWidth="1"/>
    <col min="2" max="2" width="17.88671875" style="15" bestFit="1" customWidth="1"/>
    <col min="3" max="3" width="23.88671875" bestFit="1" customWidth="1"/>
    <col min="4" max="4" width="16.6640625" style="15" bestFit="1" customWidth="1"/>
    <col min="5" max="5" width="12.33203125" bestFit="1" customWidth="1"/>
    <col min="6" max="6" width="20.33203125" bestFit="1" customWidth="1"/>
    <col min="7" max="7" width="17.88671875" bestFit="1" customWidth="1"/>
    <col min="8" max="8" width="19.44140625" bestFit="1" customWidth="1"/>
  </cols>
  <sheetData>
    <row r="1" spans="1:8" x14ac:dyDescent="0.3">
      <c r="A1" s="42" t="s">
        <v>0</v>
      </c>
      <c r="B1" s="44" t="s">
        <v>332</v>
      </c>
      <c r="C1" s="43" t="s">
        <v>333</v>
      </c>
      <c r="D1" s="44" t="s">
        <v>334</v>
      </c>
      <c r="E1" s="43" t="s">
        <v>335</v>
      </c>
      <c r="F1" s="43" t="s">
        <v>336</v>
      </c>
      <c r="G1" s="43" t="s">
        <v>337</v>
      </c>
      <c r="H1" s="43" t="s">
        <v>338</v>
      </c>
    </row>
    <row r="2" spans="1:8" x14ac:dyDescent="0.3">
      <c r="A2" s="45">
        <v>45971</v>
      </c>
      <c r="B2" s="47"/>
      <c r="C2" s="46"/>
      <c r="D2" s="47"/>
      <c r="E2" s="46"/>
      <c r="F2" s="46"/>
      <c r="G2" s="46"/>
      <c r="H2" s="46"/>
    </row>
    <row r="3" spans="1:8" x14ac:dyDescent="0.3">
      <c r="A3" s="45">
        <v>45972</v>
      </c>
      <c r="B3" s="47"/>
      <c r="C3" s="46"/>
      <c r="D3" s="47"/>
      <c r="E3" s="46"/>
      <c r="F3" s="46"/>
      <c r="G3" s="46"/>
      <c r="H3" s="46"/>
    </row>
    <row r="4" spans="1:8" x14ac:dyDescent="0.3">
      <c r="A4" s="45">
        <v>45973</v>
      </c>
      <c r="B4" s="47"/>
      <c r="C4" s="46"/>
      <c r="D4" s="47"/>
      <c r="E4" s="46"/>
      <c r="F4" s="46"/>
      <c r="G4" s="46"/>
      <c r="H4" s="46"/>
    </row>
    <row r="5" spans="1:8" x14ac:dyDescent="0.3">
      <c r="A5" s="45">
        <v>45971</v>
      </c>
      <c r="B5" s="47"/>
      <c r="C5" s="46">
        <v>33</v>
      </c>
      <c r="D5" s="47"/>
      <c r="E5" s="46"/>
      <c r="F5" s="46">
        <v>177</v>
      </c>
      <c r="G5" s="46"/>
      <c r="H5" s="46"/>
    </row>
    <row r="6" spans="1:8" x14ac:dyDescent="0.3">
      <c r="A6" s="45">
        <v>45972</v>
      </c>
      <c r="B6" s="47">
        <v>0</v>
      </c>
      <c r="C6" s="46"/>
      <c r="D6" s="47">
        <v>2</v>
      </c>
      <c r="E6" s="46">
        <v>0</v>
      </c>
      <c r="F6" s="46">
        <v>178</v>
      </c>
      <c r="G6" s="46"/>
      <c r="H6" s="46"/>
    </row>
    <row r="7" spans="1:8" x14ac:dyDescent="0.3">
      <c r="A7" s="45">
        <v>45973</v>
      </c>
      <c r="B7" s="47">
        <v>0</v>
      </c>
      <c r="C7" s="46"/>
      <c r="D7" s="47"/>
      <c r="E7" s="46">
        <v>0</v>
      </c>
      <c r="F7" s="46">
        <v>179</v>
      </c>
      <c r="G7" s="46"/>
      <c r="H7" s="46"/>
    </row>
    <row r="8" spans="1:8" x14ac:dyDescent="0.3">
      <c r="A8" s="45">
        <v>45974</v>
      </c>
      <c r="B8" s="47">
        <v>0</v>
      </c>
      <c r="C8" s="46"/>
      <c r="D8" s="47"/>
      <c r="E8" s="46"/>
      <c r="F8" s="46">
        <v>180</v>
      </c>
      <c r="G8" s="46"/>
      <c r="H8" s="46"/>
    </row>
    <row r="9" spans="1:8" x14ac:dyDescent="0.3">
      <c r="A9" s="45">
        <v>45975</v>
      </c>
      <c r="B9" s="47">
        <v>0</v>
      </c>
      <c r="C9" s="46"/>
      <c r="D9" s="47"/>
      <c r="E9" s="46"/>
      <c r="F9" s="46">
        <v>181</v>
      </c>
      <c r="G9" s="46"/>
      <c r="H9" s="46"/>
    </row>
    <row r="10" spans="1:8" x14ac:dyDescent="0.3">
      <c r="A10" s="45">
        <v>45976</v>
      </c>
      <c r="B10" s="47">
        <v>0</v>
      </c>
      <c r="C10" s="46"/>
      <c r="D10" s="47"/>
      <c r="E10" s="46"/>
      <c r="F10" s="46">
        <v>182</v>
      </c>
      <c r="G10" s="46"/>
      <c r="H10" s="46"/>
    </row>
    <row r="11" spans="1:8" x14ac:dyDescent="0.3">
      <c r="A11" s="45">
        <v>45977</v>
      </c>
      <c r="B11" s="47">
        <v>0</v>
      </c>
      <c r="C11" s="46"/>
      <c r="D11" s="47"/>
      <c r="E11" s="46"/>
      <c r="F11" s="46">
        <v>183</v>
      </c>
      <c r="G11" s="46"/>
      <c r="H11" s="46"/>
    </row>
    <row r="12" spans="1:8" x14ac:dyDescent="0.3">
      <c r="A12" s="45">
        <v>45978</v>
      </c>
      <c r="B12" s="47">
        <v>2</v>
      </c>
      <c r="C12" s="46">
        <v>30</v>
      </c>
      <c r="D12" s="47">
        <v>0</v>
      </c>
      <c r="E12" s="46">
        <v>0</v>
      </c>
      <c r="F12" s="46">
        <v>192</v>
      </c>
      <c r="G12" s="46">
        <v>125</v>
      </c>
      <c r="H12" s="46">
        <v>70</v>
      </c>
    </row>
    <row r="13" spans="1:8" x14ac:dyDescent="0.3">
      <c r="A13" s="45">
        <v>45979</v>
      </c>
      <c r="B13" s="47">
        <v>0</v>
      </c>
      <c r="C13" s="46"/>
      <c r="D13" s="47">
        <v>0</v>
      </c>
      <c r="E13" s="46"/>
      <c r="F13" s="46">
        <v>193</v>
      </c>
      <c r="G13" s="46">
        <v>77</v>
      </c>
      <c r="H13" s="46">
        <v>52</v>
      </c>
    </row>
    <row r="14" spans="1:8" x14ac:dyDescent="0.3">
      <c r="A14" s="45">
        <v>45980</v>
      </c>
      <c r="B14" s="47">
        <v>0</v>
      </c>
      <c r="C14" s="46"/>
      <c r="D14" s="47">
        <v>0</v>
      </c>
      <c r="E14" s="46">
        <v>0</v>
      </c>
      <c r="F14" s="46">
        <v>194</v>
      </c>
      <c r="G14" s="46">
        <v>102</v>
      </c>
      <c r="H14" s="46">
        <v>83</v>
      </c>
    </row>
    <row r="15" spans="1:8" x14ac:dyDescent="0.3">
      <c r="A15" s="45">
        <v>45981</v>
      </c>
      <c r="B15" s="47">
        <v>0</v>
      </c>
      <c r="C15" s="46"/>
      <c r="D15" s="47">
        <v>0</v>
      </c>
      <c r="E15" s="46">
        <v>0</v>
      </c>
      <c r="F15" s="46">
        <v>195</v>
      </c>
      <c r="G15" s="46">
        <v>102</v>
      </c>
      <c r="H15" s="46">
        <v>83</v>
      </c>
    </row>
    <row r="16" spans="1:8" x14ac:dyDescent="0.3">
      <c r="A16" s="45">
        <v>45982</v>
      </c>
      <c r="B16" s="47">
        <v>0</v>
      </c>
      <c r="C16" s="46"/>
      <c r="D16" s="47">
        <v>1</v>
      </c>
      <c r="E16" s="46"/>
      <c r="F16" s="46">
        <v>196</v>
      </c>
      <c r="G16" s="46">
        <v>102</v>
      </c>
      <c r="H16" s="46">
        <v>83</v>
      </c>
    </row>
    <row r="17" spans="1:8" x14ac:dyDescent="0.3">
      <c r="A17" s="45">
        <v>45985</v>
      </c>
      <c r="B17" s="47">
        <v>0</v>
      </c>
      <c r="C17" s="46"/>
      <c r="D17" s="47">
        <v>5</v>
      </c>
      <c r="E17" s="46"/>
      <c r="F17" s="46">
        <v>199</v>
      </c>
      <c r="G17" s="46">
        <v>102</v>
      </c>
      <c r="H17" s="46">
        <v>83</v>
      </c>
    </row>
    <row r="18" spans="1:8" x14ac:dyDescent="0.3">
      <c r="A18" s="45">
        <v>45986</v>
      </c>
      <c r="B18" s="47">
        <v>1</v>
      </c>
      <c r="C18" s="46"/>
      <c r="D18" s="47">
        <v>1</v>
      </c>
      <c r="E18" s="46"/>
      <c r="F18" s="46">
        <v>200</v>
      </c>
      <c r="G18" s="46">
        <v>102</v>
      </c>
      <c r="H18" s="46">
        <v>82</v>
      </c>
    </row>
    <row r="19" spans="1:8" x14ac:dyDescent="0.3">
      <c r="A19" s="45">
        <v>45987</v>
      </c>
      <c r="B19" s="47">
        <v>4</v>
      </c>
      <c r="C19" s="46"/>
      <c r="D19" s="47">
        <v>1</v>
      </c>
      <c r="E19" s="46"/>
      <c r="F19" s="46">
        <v>201</v>
      </c>
      <c r="G19" s="46">
        <v>102</v>
      </c>
      <c r="H19" s="46">
        <v>82</v>
      </c>
    </row>
    <row r="20" spans="1:8" x14ac:dyDescent="0.3">
      <c r="A20" s="45">
        <v>45988</v>
      </c>
      <c r="B20" s="47">
        <v>0</v>
      </c>
      <c r="C20" s="46"/>
      <c r="D20" s="47">
        <v>1</v>
      </c>
      <c r="E20" s="46"/>
      <c r="F20" s="46">
        <v>202</v>
      </c>
      <c r="G20" s="46">
        <v>102</v>
      </c>
      <c r="H20" s="46">
        <v>82</v>
      </c>
    </row>
    <row r="21" spans="1:8" x14ac:dyDescent="0.3">
      <c r="A21" s="45">
        <v>45989</v>
      </c>
      <c r="B21" s="47"/>
      <c r="C21" s="46"/>
      <c r="D21" s="47"/>
      <c r="E21" s="46"/>
      <c r="F21" s="46">
        <v>203</v>
      </c>
      <c r="G21" s="46"/>
      <c r="H21" s="46"/>
    </row>
    <row r="22" spans="1:8" x14ac:dyDescent="0.3">
      <c r="A22" s="45">
        <v>45992</v>
      </c>
      <c r="B22" s="47"/>
      <c r="C22" s="46"/>
      <c r="D22" s="47">
        <v>1</v>
      </c>
      <c r="E22" s="46"/>
      <c r="F22" s="46">
        <v>207</v>
      </c>
      <c r="G22" s="46">
        <v>102</v>
      </c>
      <c r="H22" s="46">
        <v>85</v>
      </c>
    </row>
    <row r="23" spans="1:8" x14ac:dyDescent="0.3">
      <c r="A23" s="45">
        <v>45993</v>
      </c>
      <c r="B23" s="47">
        <v>1</v>
      </c>
      <c r="C23" s="46"/>
      <c r="D23" s="47">
        <v>1</v>
      </c>
      <c r="E23" s="46"/>
      <c r="F23" s="46">
        <v>208</v>
      </c>
      <c r="G23" s="46">
        <v>99</v>
      </c>
      <c r="H23" s="46">
        <v>88</v>
      </c>
    </row>
    <row r="24" spans="1:8" x14ac:dyDescent="0.3">
      <c r="A24" s="45">
        <v>45994</v>
      </c>
      <c r="B24" s="47">
        <v>0</v>
      </c>
      <c r="C24" s="46"/>
      <c r="D24" s="47"/>
      <c r="E24" s="46"/>
      <c r="F24" s="46">
        <v>209</v>
      </c>
      <c r="G24" s="46">
        <v>99</v>
      </c>
      <c r="H24" s="46">
        <v>89</v>
      </c>
    </row>
    <row r="25" spans="1:8" x14ac:dyDescent="0.3">
      <c r="A25" s="45">
        <v>45995</v>
      </c>
      <c r="B25" s="47">
        <v>3</v>
      </c>
      <c r="C25" s="46"/>
      <c r="D25" s="47">
        <v>1</v>
      </c>
      <c r="E25" s="46"/>
      <c r="F25" s="46">
        <v>210</v>
      </c>
      <c r="G25" s="46">
        <v>100</v>
      </c>
      <c r="H25" s="46">
        <v>89</v>
      </c>
    </row>
    <row r="26" spans="1:8" x14ac:dyDescent="0.3">
      <c r="A26" s="45">
        <v>45996</v>
      </c>
      <c r="B26" s="47">
        <v>1</v>
      </c>
      <c r="C26" s="46"/>
      <c r="D26" s="47"/>
      <c r="E26" s="46"/>
      <c r="F26" s="46">
        <v>211</v>
      </c>
      <c r="G26" s="46">
        <v>101</v>
      </c>
      <c r="H26" s="46">
        <v>89</v>
      </c>
    </row>
    <row r="27" spans="1:8" x14ac:dyDescent="0.3">
      <c r="A27" s="45">
        <v>45999</v>
      </c>
      <c r="B27" s="47">
        <v>0</v>
      </c>
      <c r="C27" s="46"/>
      <c r="D27" s="47"/>
      <c r="E27" s="46"/>
      <c r="F27" s="46">
        <v>214</v>
      </c>
      <c r="G27" s="46">
        <v>101</v>
      </c>
      <c r="H27" s="46">
        <v>89</v>
      </c>
    </row>
    <row r="28" spans="1:8" x14ac:dyDescent="0.3">
      <c r="A28" s="45">
        <v>46000</v>
      </c>
      <c r="B28" s="47">
        <v>0</v>
      </c>
      <c r="C28" s="46"/>
      <c r="D28" s="47">
        <v>3</v>
      </c>
      <c r="E28" s="46"/>
      <c r="F28" s="46">
        <v>215</v>
      </c>
      <c r="G28" s="46"/>
      <c r="H28" s="46"/>
    </row>
    <row r="29" spans="1:8" x14ac:dyDescent="0.3">
      <c r="A29" s="45">
        <v>46001</v>
      </c>
      <c r="B29" s="47">
        <v>0</v>
      </c>
      <c r="C29" s="46"/>
      <c r="D29" s="47">
        <v>3</v>
      </c>
      <c r="E29" s="46"/>
      <c r="F29" s="46">
        <v>216</v>
      </c>
      <c r="G29" s="46">
        <v>96</v>
      </c>
      <c r="H29" s="46">
        <v>90</v>
      </c>
    </row>
    <row r="30" spans="1:8" x14ac:dyDescent="0.3">
      <c r="A30" s="45">
        <v>46002</v>
      </c>
      <c r="B30" s="47">
        <v>0</v>
      </c>
      <c r="C30" s="46"/>
      <c r="D30" s="47">
        <v>5</v>
      </c>
      <c r="E30" s="46"/>
      <c r="F30" s="46">
        <v>217</v>
      </c>
      <c r="G30" s="46">
        <v>96</v>
      </c>
      <c r="H30" s="46">
        <v>91</v>
      </c>
    </row>
    <row r="31" spans="1:8" x14ac:dyDescent="0.3">
      <c r="A31" s="45">
        <v>46003</v>
      </c>
      <c r="B31" s="47">
        <v>0</v>
      </c>
      <c r="C31" s="46"/>
      <c r="D31" s="47"/>
      <c r="E31" s="46"/>
      <c r="F31" s="46">
        <v>218</v>
      </c>
      <c r="G31" s="46">
        <v>96</v>
      </c>
      <c r="H31" s="46">
        <v>90</v>
      </c>
    </row>
    <row r="32" spans="1:8" x14ac:dyDescent="0.3">
      <c r="A32" s="45">
        <v>46004</v>
      </c>
      <c r="B32" s="47">
        <v>0</v>
      </c>
      <c r="C32" s="46">
        <v>2</v>
      </c>
      <c r="D32" s="47">
        <v>2</v>
      </c>
      <c r="E32" s="46">
        <v>0</v>
      </c>
      <c r="F32" s="46">
        <v>219</v>
      </c>
      <c r="G32" s="46">
        <v>95</v>
      </c>
      <c r="H32" s="46">
        <v>89</v>
      </c>
    </row>
    <row r="33" spans="1:8" x14ac:dyDescent="0.3">
      <c r="A33" s="45">
        <v>46006</v>
      </c>
      <c r="B33" s="47">
        <v>0</v>
      </c>
      <c r="C33" s="46">
        <v>32</v>
      </c>
      <c r="D33" s="47">
        <v>1</v>
      </c>
      <c r="E33" s="46">
        <v>0</v>
      </c>
      <c r="F33" s="46">
        <v>220</v>
      </c>
      <c r="G33" s="46">
        <v>95</v>
      </c>
      <c r="H33" s="46">
        <v>89</v>
      </c>
    </row>
    <row r="34" spans="1:8" x14ac:dyDescent="0.3">
      <c r="A34" s="45">
        <v>46007</v>
      </c>
      <c r="B34" s="47">
        <v>0</v>
      </c>
      <c r="C34" s="46">
        <v>44</v>
      </c>
      <c r="D34" s="47">
        <v>1</v>
      </c>
      <c r="E34" s="46">
        <v>0</v>
      </c>
      <c r="F34" s="46">
        <v>221</v>
      </c>
      <c r="G34" s="46">
        <v>95</v>
      </c>
      <c r="H34" s="46">
        <v>89</v>
      </c>
    </row>
    <row r="35" spans="1:8" x14ac:dyDescent="0.3">
      <c r="A35" s="45">
        <v>46008</v>
      </c>
      <c r="B35" s="47">
        <v>0</v>
      </c>
      <c r="C35" s="46"/>
      <c r="D35" s="47">
        <v>2</v>
      </c>
      <c r="E35" s="46">
        <v>0</v>
      </c>
      <c r="F35" s="46">
        <v>222</v>
      </c>
      <c r="G35" s="46">
        <v>95</v>
      </c>
      <c r="H35" s="46">
        <v>88</v>
      </c>
    </row>
    <row r="36" spans="1:8" x14ac:dyDescent="0.3">
      <c r="A36" s="45">
        <v>46009</v>
      </c>
      <c r="B36" s="47">
        <v>0</v>
      </c>
      <c r="C36" s="46">
        <v>76</v>
      </c>
      <c r="D36" s="47">
        <v>2</v>
      </c>
      <c r="E36" s="46">
        <v>0</v>
      </c>
      <c r="F36" s="46">
        <v>222</v>
      </c>
      <c r="G36" s="46">
        <v>95</v>
      </c>
      <c r="H36" s="46">
        <v>88</v>
      </c>
    </row>
    <row r="37" spans="1:8" x14ac:dyDescent="0.3">
      <c r="A37" s="45">
        <v>46010</v>
      </c>
      <c r="B37" s="47">
        <v>0</v>
      </c>
      <c r="C37" s="46">
        <v>78</v>
      </c>
      <c r="D37" s="47">
        <v>0</v>
      </c>
      <c r="E37" s="46">
        <v>0</v>
      </c>
      <c r="F37" s="46">
        <v>223</v>
      </c>
      <c r="G37" s="46">
        <v>95</v>
      </c>
      <c r="H37" s="46">
        <v>89</v>
      </c>
    </row>
    <row r="38" spans="1:8" x14ac:dyDescent="0.3">
      <c r="A38" s="45">
        <v>46013</v>
      </c>
      <c r="B38" s="47">
        <v>0</v>
      </c>
      <c r="C38" s="46">
        <v>16</v>
      </c>
      <c r="D38" s="47">
        <v>3</v>
      </c>
      <c r="E38" s="46">
        <v>0</v>
      </c>
      <c r="F38" s="46">
        <v>226</v>
      </c>
      <c r="G38" s="46">
        <v>95</v>
      </c>
      <c r="H38" s="46">
        <v>89</v>
      </c>
    </row>
    <row r="39" spans="1:8" x14ac:dyDescent="0.3">
      <c r="A39" s="45">
        <v>46014</v>
      </c>
      <c r="B39" s="47"/>
      <c r="C39" s="46">
        <v>35</v>
      </c>
      <c r="D39" s="47"/>
      <c r="E39" s="46">
        <v>0</v>
      </c>
      <c r="F39" s="46"/>
      <c r="G39" s="46">
        <v>96</v>
      </c>
      <c r="H39" s="46">
        <v>89</v>
      </c>
    </row>
    <row r="40" spans="1:8" x14ac:dyDescent="0.3">
      <c r="A40" s="45">
        <v>46015</v>
      </c>
      <c r="B40" s="47"/>
      <c r="C40" s="46">
        <v>31</v>
      </c>
      <c r="D40" s="47"/>
      <c r="E40" s="46">
        <v>0</v>
      </c>
      <c r="F40" s="46"/>
      <c r="G40" s="46">
        <v>96</v>
      </c>
      <c r="H40" s="46">
        <v>89</v>
      </c>
    </row>
    <row r="41" spans="1:8" x14ac:dyDescent="0.3">
      <c r="A41" s="45">
        <v>46020</v>
      </c>
      <c r="B41" s="47">
        <v>0</v>
      </c>
      <c r="C41" s="46">
        <v>4</v>
      </c>
      <c r="D41" s="47">
        <v>0</v>
      </c>
      <c r="E41" s="46">
        <v>0</v>
      </c>
      <c r="F41" s="46">
        <v>231</v>
      </c>
      <c r="G41" s="46">
        <v>96</v>
      </c>
      <c r="H41" s="46">
        <v>89</v>
      </c>
    </row>
    <row r="42" spans="1:8" x14ac:dyDescent="0.3">
      <c r="A42" s="45">
        <v>46021</v>
      </c>
      <c r="B42" s="47">
        <v>0</v>
      </c>
      <c r="C42" s="46"/>
      <c r="D42" s="47">
        <v>3</v>
      </c>
      <c r="E42" s="46">
        <v>0</v>
      </c>
      <c r="F42" s="46">
        <v>232</v>
      </c>
      <c r="G42" s="46"/>
      <c r="H42" s="46"/>
    </row>
    <row r="43" spans="1:8" x14ac:dyDescent="0.3">
      <c r="A43" s="45">
        <v>46023</v>
      </c>
      <c r="B43" s="47">
        <v>0</v>
      </c>
      <c r="C43" s="46"/>
      <c r="D43" s="47"/>
      <c r="E43" s="46">
        <v>0</v>
      </c>
      <c r="F43" s="46"/>
      <c r="G43" s="46"/>
      <c r="H43" s="46"/>
    </row>
    <row r="44" spans="1:8" x14ac:dyDescent="0.3">
      <c r="A44" s="45">
        <v>46024</v>
      </c>
      <c r="B44" s="47">
        <v>0</v>
      </c>
      <c r="C44" s="46"/>
      <c r="D44" s="47"/>
      <c r="E44" s="46">
        <v>0</v>
      </c>
      <c r="F44" s="46"/>
      <c r="G44" s="46"/>
      <c r="H44" s="46"/>
    </row>
    <row r="45" spans="1:8" x14ac:dyDescent="0.3">
      <c r="A45" s="45">
        <v>46025</v>
      </c>
      <c r="B45" s="47">
        <v>0</v>
      </c>
      <c r="C45" s="46"/>
      <c r="D45" s="47"/>
      <c r="E45" s="46">
        <v>0</v>
      </c>
      <c r="F45" s="46"/>
      <c r="G45" s="46"/>
      <c r="H45" s="46"/>
    </row>
    <row r="46" spans="1:8" x14ac:dyDescent="0.3">
      <c r="A46" s="45">
        <v>46026</v>
      </c>
      <c r="B46" s="47">
        <v>0</v>
      </c>
      <c r="C46" s="46"/>
      <c r="D46" s="47"/>
      <c r="E46" s="46">
        <v>0</v>
      </c>
      <c r="F46" s="46"/>
      <c r="G46" s="46"/>
      <c r="H46" s="46"/>
    </row>
    <row r="47" spans="1:8" x14ac:dyDescent="0.3">
      <c r="A47" s="45">
        <v>46027</v>
      </c>
      <c r="B47" s="47">
        <v>0</v>
      </c>
      <c r="C47" s="46"/>
      <c r="D47" s="47"/>
      <c r="E47" s="46">
        <v>0</v>
      </c>
      <c r="F47" s="46"/>
      <c r="G47" s="46"/>
      <c r="H47" s="46"/>
    </row>
    <row r="48" spans="1:8" x14ac:dyDescent="0.3">
      <c r="A48" s="45">
        <v>46028</v>
      </c>
      <c r="B48" s="47">
        <v>0</v>
      </c>
      <c r="C48" s="46">
        <v>42</v>
      </c>
      <c r="D48" s="47"/>
      <c r="E48" s="46">
        <v>0</v>
      </c>
      <c r="F48" s="46">
        <v>243</v>
      </c>
      <c r="G48" s="46">
        <v>96</v>
      </c>
      <c r="H48" s="46">
        <v>86</v>
      </c>
    </row>
    <row r="49" spans="1:8" x14ac:dyDescent="0.3">
      <c r="A49" s="45">
        <v>46029</v>
      </c>
      <c r="B49" s="47">
        <v>0</v>
      </c>
      <c r="C49" s="46">
        <v>17</v>
      </c>
      <c r="D49" s="47"/>
      <c r="E49" s="46">
        <v>0</v>
      </c>
      <c r="F49" s="46">
        <v>244</v>
      </c>
      <c r="G49" s="46">
        <v>96</v>
      </c>
      <c r="H49" s="46">
        <v>84</v>
      </c>
    </row>
    <row r="50" spans="1:8" x14ac:dyDescent="0.3">
      <c r="A50" s="45">
        <v>46030</v>
      </c>
      <c r="B50" s="47"/>
      <c r="C50" s="46">
        <v>69</v>
      </c>
      <c r="D50" s="47"/>
      <c r="E50" s="46"/>
      <c r="F50" s="46"/>
      <c r="G50" s="46"/>
      <c r="H50" s="46"/>
    </row>
    <row r="51" spans="1:8" x14ac:dyDescent="0.3">
      <c r="A51" s="45">
        <v>46031</v>
      </c>
      <c r="B51" s="47"/>
      <c r="C51" s="46"/>
      <c r="D51" s="47"/>
      <c r="E51" s="46"/>
      <c r="F51" s="46"/>
      <c r="G51" s="46"/>
      <c r="H51" s="46"/>
    </row>
    <row r="52" spans="1:8" x14ac:dyDescent="0.3">
      <c r="A52" s="45">
        <v>46034</v>
      </c>
      <c r="B52" s="47">
        <v>0</v>
      </c>
      <c r="C52" s="46"/>
      <c r="D52" s="47"/>
      <c r="E52" s="46"/>
      <c r="F52" s="46"/>
      <c r="G52" s="46"/>
      <c r="H52" s="46"/>
    </row>
    <row r="53" spans="1:8" x14ac:dyDescent="0.3">
      <c r="A53" s="45">
        <v>46035</v>
      </c>
      <c r="B53" s="47">
        <v>0</v>
      </c>
      <c r="C53" s="46"/>
      <c r="D53" s="47"/>
      <c r="E53" s="46"/>
      <c r="F53" s="46"/>
      <c r="G53" s="46"/>
      <c r="H53" s="46"/>
    </row>
    <row r="54" spans="1:8" x14ac:dyDescent="0.3">
      <c r="A54" s="45">
        <v>46036</v>
      </c>
      <c r="B54" s="47">
        <v>0</v>
      </c>
      <c r="C54" s="46"/>
      <c r="D54" s="47"/>
      <c r="E54" s="46"/>
      <c r="F54" s="46">
        <v>250</v>
      </c>
      <c r="G54" s="46"/>
      <c r="H54" s="46"/>
    </row>
    <row r="55" spans="1:8" x14ac:dyDescent="0.3">
      <c r="A55" s="45">
        <v>46037</v>
      </c>
      <c r="B55" s="47">
        <v>0</v>
      </c>
      <c r="C55" s="46">
        <v>71</v>
      </c>
      <c r="D55" s="47">
        <v>4</v>
      </c>
      <c r="E55" s="46"/>
      <c r="F55" s="46">
        <v>251</v>
      </c>
      <c r="G55" s="46">
        <v>88</v>
      </c>
      <c r="H55" s="46">
        <v>79</v>
      </c>
    </row>
    <row r="56" spans="1:8" x14ac:dyDescent="0.3">
      <c r="A56" s="45">
        <v>46038</v>
      </c>
      <c r="B56" s="47">
        <v>0.05</v>
      </c>
      <c r="C56" s="46"/>
      <c r="D56" s="47"/>
      <c r="E56" s="46"/>
      <c r="F56" s="46">
        <v>252</v>
      </c>
      <c r="G56" s="46"/>
      <c r="H56" s="46"/>
    </row>
    <row r="57" spans="1:8" x14ac:dyDescent="0.3">
      <c r="A57" s="45">
        <v>46039</v>
      </c>
      <c r="B57" s="47">
        <v>0.05</v>
      </c>
      <c r="C57" s="46"/>
      <c r="D57" s="47"/>
      <c r="E57" s="46"/>
      <c r="F57" s="46">
        <v>253</v>
      </c>
      <c r="G57" s="46"/>
      <c r="H57" s="46"/>
    </row>
    <row r="58" spans="1:8" x14ac:dyDescent="0.3">
      <c r="A58" s="45">
        <v>46040</v>
      </c>
      <c r="B58" s="47">
        <v>0.05</v>
      </c>
      <c r="C58" s="46"/>
      <c r="D58" s="47"/>
      <c r="E58" s="46"/>
      <c r="F58" s="46">
        <v>254</v>
      </c>
      <c r="G58" s="46"/>
      <c r="H58" s="46"/>
    </row>
    <row r="59" spans="1:8" x14ac:dyDescent="0.3">
      <c r="A59" s="45">
        <v>46041</v>
      </c>
      <c r="B59" s="47">
        <v>0.05</v>
      </c>
      <c r="C59" s="46">
        <v>42</v>
      </c>
      <c r="D59" s="47"/>
      <c r="E59" s="46"/>
      <c r="F59" s="46">
        <v>255</v>
      </c>
      <c r="G59" s="46">
        <v>90</v>
      </c>
      <c r="H59" s="46">
        <v>82</v>
      </c>
    </row>
    <row r="60" spans="1:8" x14ac:dyDescent="0.3">
      <c r="A60" s="45">
        <v>46042</v>
      </c>
      <c r="B60" s="47">
        <v>0.05</v>
      </c>
      <c r="C60" s="46"/>
      <c r="D60" s="47">
        <v>1</v>
      </c>
      <c r="E60" s="46"/>
      <c r="F60" s="46">
        <v>256</v>
      </c>
      <c r="G60" s="46"/>
      <c r="H60" s="46"/>
    </row>
    <row r="61" spans="1:8" x14ac:dyDescent="0.3">
      <c r="A61" s="45">
        <v>46043</v>
      </c>
      <c r="B61" s="47">
        <v>0.05</v>
      </c>
      <c r="C61" s="46">
        <v>52</v>
      </c>
      <c r="D61" s="47">
        <v>2</v>
      </c>
      <c r="E61" s="46"/>
      <c r="F61" s="46">
        <v>257</v>
      </c>
      <c r="G61" s="46">
        <v>88</v>
      </c>
      <c r="H61" s="46">
        <v>80</v>
      </c>
    </row>
    <row r="62" spans="1:8" x14ac:dyDescent="0.3">
      <c r="A62" s="45">
        <v>46044</v>
      </c>
      <c r="B62" s="47">
        <v>0.05</v>
      </c>
      <c r="C62" s="46">
        <v>66</v>
      </c>
      <c r="D62" s="47">
        <v>1</v>
      </c>
      <c r="E62" s="46">
        <v>1</v>
      </c>
      <c r="F62" s="46">
        <v>258</v>
      </c>
      <c r="G62" s="46">
        <v>89</v>
      </c>
      <c r="H62" s="46">
        <v>80</v>
      </c>
    </row>
    <row r="63" spans="1:8" x14ac:dyDescent="0.3">
      <c r="A63" s="45">
        <v>46045</v>
      </c>
      <c r="B63" s="47">
        <v>0.05</v>
      </c>
      <c r="C63" s="46">
        <v>80</v>
      </c>
      <c r="D63" s="47">
        <v>2</v>
      </c>
      <c r="E63" s="46"/>
      <c r="F63" s="46">
        <v>261</v>
      </c>
      <c r="G63" s="46">
        <v>90</v>
      </c>
      <c r="H63" s="46">
        <v>80</v>
      </c>
    </row>
    <row r="64" spans="1:8" x14ac:dyDescent="0.3">
      <c r="A64" s="45">
        <v>46048</v>
      </c>
      <c r="B64" s="47">
        <v>0.05</v>
      </c>
      <c r="C64" s="46">
        <v>58</v>
      </c>
      <c r="D64" s="47">
        <v>2</v>
      </c>
      <c r="E64" s="46"/>
      <c r="F64" s="46">
        <v>262</v>
      </c>
      <c r="G64" s="46">
        <v>92</v>
      </c>
      <c r="H64" s="46">
        <v>78</v>
      </c>
    </row>
    <row r="65" spans="1:8" x14ac:dyDescent="0.3">
      <c r="A65" s="45">
        <v>46049</v>
      </c>
      <c r="B65" s="47">
        <v>0.05</v>
      </c>
      <c r="C65" s="46">
        <v>23</v>
      </c>
      <c r="D65" s="47">
        <v>2</v>
      </c>
      <c r="E65" s="46"/>
      <c r="F65" s="46">
        <v>263</v>
      </c>
      <c r="G65" s="46">
        <v>86</v>
      </c>
      <c r="H65" s="46">
        <v>78</v>
      </c>
    </row>
    <row r="66" spans="1:8" x14ac:dyDescent="0.3">
      <c r="A66" s="45">
        <v>46050</v>
      </c>
      <c r="B66" s="47">
        <v>0.05</v>
      </c>
      <c r="C66" s="46">
        <v>38</v>
      </c>
      <c r="D66" s="47">
        <v>3</v>
      </c>
      <c r="E66" s="46">
        <v>1</v>
      </c>
      <c r="F66" s="46">
        <v>264</v>
      </c>
      <c r="G66" s="46">
        <v>86</v>
      </c>
      <c r="H66" s="46">
        <v>79</v>
      </c>
    </row>
    <row r="67" spans="1:8" x14ac:dyDescent="0.3">
      <c r="A67" s="45">
        <v>46051</v>
      </c>
      <c r="B67" s="47">
        <v>0.05</v>
      </c>
      <c r="C67" s="46">
        <v>66</v>
      </c>
      <c r="D67" s="47">
        <v>4</v>
      </c>
      <c r="E67" s="46">
        <v>0</v>
      </c>
      <c r="F67" s="46">
        <v>265</v>
      </c>
      <c r="G67" s="46">
        <v>86</v>
      </c>
      <c r="H67" s="46">
        <v>79</v>
      </c>
    </row>
    <row r="68" spans="1:8" x14ac:dyDescent="0.3">
      <c r="A68" s="45">
        <v>46052</v>
      </c>
      <c r="B68" s="47">
        <v>0.1</v>
      </c>
      <c r="C68" s="46">
        <v>79</v>
      </c>
      <c r="D68" s="47">
        <v>2</v>
      </c>
      <c r="E68" s="46">
        <v>0</v>
      </c>
      <c r="F68" s="46">
        <v>266</v>
      </c>
      <c r="G68" s="46">
        <v>86</v>
      </c>
      <c r="H68" s="46">
        <v>79</v>
      </c>
    </row>
    <row r="69" spans="1:8" x14ac:dyDescent="0.3">
      <c r="A69" s="45">
        <v>46055</v>
      </c>
      <c r="B69" s="47">
        <v>0.1</v>
      </c>
      <c r="C69" s="46">
        <v>32</v>
      </c>
      <c r="D69" s="47">
        <v>1</v>
      </c>
      <c r="E69" s="46">
        <v>0</v>
      </c>
      <c r="F69" s="46">
        <v>267</v>
      </c>
      <c r="G69" s="46">
        <v>90</v>
      </c>
      <c r="H69" s="46">
        <v>79</v>
      </c>
    </row>
    <row r="70" spans="1:8" x14ac:dyDescent="0.3">
      <c r="A70" s="45">
        <v>46056</v>
      </c>
      <c r="B70" s="47">
        <v>0.1</v>
      </c>
      <c r="C70" s="46">
        <v>23</v>
      </c>
      <c r="D70" s="47">
        <v>0</v>
      </c>
      <c r="E70" s="46">
        <v>0</v>
      </c>
      <c r="F70" s="46">
        <v>268</v>
      </c>
      <c r="G70" s="46">
        <v>87</v>
      </c>
      <c r="H70" s="46">
        <v>79</v>
      </c>
    </row>
    <row r="71" spans="1:8" x14ac:dyDescent="0.3">
      <c r="A71" s="45">
        <v>46057</v>
      </c>
      <c r="B71" s="47">
        <v>0</v>
      </c>
      <c r="C71" s="46">
        <v>27</v>
      </c>
      <c r="D71" s="47">
        <v>1</v>
      </c>
      <c r="E71" s="46">
        <v>0</v>
      </c>
      <c r="F71" s="46">
        <v>269</v>
      </c>
      <c r="G71" s="46">
        <v>87</v>
      </c>
      <c r="H71" s="46">
        <v>79</v>
      </c>
    </row>
    <row r="72" spans="1:8" x14ac:dyDescent="0.3">
      <c r="A72" s="45">
        <v>46058</v>
      </c>
      <c r="B72" s="47">
        <v>0</v>
      </c>
      <c r="C72" s="46">
        <v>33</v>
      </c>
      <c r="D72" s="47">
        <v>2</v>
      </c>
      <c r="E72" s="46">
        <v>0</v>
      </c>
      <c r="F72" s="46">
        <v>270</v>
      </c>
      <c r="G72" s="46">
        <v>88</v>
      </c>
      <c r="H72" s="46">
        <v>78</v>
      </c>
    </row>
    <row r="73" spans="1:8" x14ac:dyDescent="0.3">
      <c r="A73" s="45">
        <v>46059</v>
      </c>
      <c r="B73" s="47">
        <v>0</v>
      </c>
      <c r="C73" s="46">
        <v>35</v>
      </c>
      <c r="D73" s="47">
        <v>0</v>
      </c>
      <c r="E73" s="46">
        <v>0</v>
      </c>
      <c r="F73" s="46">
        <v>271</v>
      </c>
      <c r="G73" s="46">
        <v>88</v>
      </c>
      <c r="H73" s="46">
        <v>78</v>
      </c>
    </row>
    <row r="74" spans="1:8" x14ac:dyDescent="0.3">
      <c r="A74" s="45">
        <v>46060</v>
      </c>
      <c r="B74" s="47"/>
      <c r="C74" s="46"/>
      <c r="D74" s="47"/>
      <c r="E74" s="46">
        <v>0</v>
      </c>
      <c r="F74" s="46"/>
      <c r="G74" s="46"/>
      <c r="H74" s="46"/>
    </row>
    <row r="75" spans="1:8" x14ac:dyDescent="0.3">
      <c r="A75" s="45">
        <v>46062</v>
      </c>
      <c r="B75" s="47">
        <v>0</v>
      </c>
      <c r="C75" s="46">
        <v>24</v>
      </c>
      <c r="D75" s="47">
        <v>0</v>
      </c>
      <c r="E75" s="46">
        <v>0</v>
      </c>
      <c r="F75" s="46">
        <v>273</v>
      </c>
      <c r="G75" s="46">
        <v>81</v>
      </c>
      <c r="H75" s="46">
        <v>77</v>
      </c>
    </row>
    <row r="76" spans="1:8" x14ac:dyDescent="0.3">
      <c r="A76" s="45">
        <v>46063</v>
      </c>
      <c r="B76" s="47">
        <v>0</v>
      </c>
      <c r="C76" s="46">
        <v>20</v>
      </c>
      <c r="D76" s="47">
        <v>1</v>
      </c>
      <c r="E76" s="46">
        <v>0</v>
      </c>
      <c r="F76" s="46">
        <v>274</v>
      </c>
      <c r="G76" s="46">
        <v>81</v>
      </c>
      <c r="H76" s="46">
        <v>77</v>
      </c>
    </row>
    <row r="77" spans="1:8" x14ac:dyDescent="0.3">
      <c r="A77" s="45">
        <v>46064</v>
      </c>
      <c r="B77" s="47">
        <v>0</v>
      </c>
      <c r="C77" s="46">
        <v>27</v>
      </c>
      <c r="D77" s="47">
        <v>1</v>
      </c>
      <c r="E77" s="46">
        <v>0</v>
      </c>
      <c r="F77" s="46">
        <v>275</v>
      </c>
      <c r="G77" s="46">
        <v>81</v>
      </c>
      <c r="H77" s="46">
        <v>73</v>
      </c>
    </row>
    <row r="78" spans="1:8" x14ac:dyDescent="0.3">
      <c r="A78" s="45">
        <v>46065</v>
      </c>
      <c r="B78" s="47">
        <v>0</v>
      </c>
      <c r="C78" s="46">
        <v>39</v>
      </c>
      <c r="D78" s="47">
        <v>1</v>
      </c>
      <c r="E78" s="46">
        <v>0</v>
      </c>
      <c r="F78" s="46">
        <v>276</v>
      </c>
      <c r="G78" s="46">
        <v>82</v>
      </c>
      <c r="H78" s="46">
        <v>73</v>
      </c>
    </row>
    <row r="79" spans="1:8" x14ac:dyDescent="0.3">
      <c r="A79" s="77">
        <v>46066</v>
      </c>
      <c r="B79" s="78">
        <v>0.05</v>
      </c>
      <c r="C79" s="79">
        <v>18</v>
      </c>
      <c r="D79" s="78">
        <v>1</v>
      </c>
      <c r="E79" s="79">
        <v>0</v>
      </c>
      <c r="F79" s="79">
        <v>277</v>
      </c>
      <c r="G79" s="79">
        <v>83</v>
      </c>
      <c r="H79" s="79">
        <v>73</v>
      </c>
    </row>
    <row r="80" spans="1:8" x14ac:dyDescent="0.3">
      <c r="A80" s="45">
        <v>46069</v>
      </c>
      <c r="B80" s="47">
        <v>0.05</v>
      </c>
      <c r="C80" s="46">
        <v>6</v>
      </c>
      <c r="D80" s="47">
        <v>0</v>
      </c>
      <c r="E80" s="46">
        <v>0</v>
      </c>
      <c r="F80" s="46">
        <v>278</v>
      </c>
      <c r="G80" s="46">
        <v>82</v>
      </c>
      <c r="H80" s="46">
        <v>72</v>
      </c>
    </row>
    <row r="81" spans="1:8" x14ac:dyDescent="0.3">
      <c r="A81" s="45">
        <v>46070</v>
      </c>
      <c r="B81" s="47">
        <v>0.05</v>
      </c>
      <c r="C81" s="46">
        <v>22</v>
      </c>
      <c r="D81" s="47">
        <v>0</v>
      </c>
      <c r="E81" s="46">
        <v>0</v>
      </c>
      <c r="F81" s="46">
        <v>4</v>
      </c>
      <c r="G81" s="46">
        <v>82</v>
      </c>
      <c r="H81" s="46">
        <v>72</v>
      </c>
    </row>
    <row r="82" spans="1:8" x14ac:dyDescent="0.3">
      <c r="A82" s="45">
        <v>46071</v>
      </c>
      <c r="B82" s="47">
        <v>0.05</v>
      </c>
      <c r="C82" s="46">
        <v>34</v>
      </c>
      <c r="D82" s="47">
        <v>2</v>
      </c>
      <c r="E82" s="46">
        <v>0</v>
      </c>
      <c r="F82" s="46">
        <v>5</v>
      </c>
      <c r="G82" s="46">
        <v>81</v>
      </c>
      <c r="H82" s="46">
        <v>71</v>
      </c>
    </row>
    <row r="83" spans="1:8" x14ac:dyDescent="0.3">
      <c r="A83" s="45">
        <v>46072</v>
      </c>
      <c r="B83" s="47"/>
      <c r="C83" s="46">
        <v>16</v>
      </c>
      <c r="D83" s="47"/>
      <c r="E83" s="46">
        <v>0</v>
      </c>
      <c r="F83" s="46">
        <v>6</v>
      </c>
      <c r="G83" s="46">
        <v>82</v>
      </c>
      <c r="H83" s="46">
        <v>71</v>
      </c>
    </row>
    <row r="84" spans="1:8" x14ac:dyDescent="0.3">
      <c r="A84" s="45">
        <v>46073</v>
      </c>
      <c r="B84" s="47"/>
      <c r="C84" s="46"/>
      <c r="D84" s="47"/>
      <c r="E84" s="46">
        <v>0</v>
      </c>
      <c r="F84" s="46">
        <v>7</v>
      </c>
      <c r="G84" s="46"/>
      <c r="H84" s="46"/>
    </row>
    <row r="85" spans="1:8" x14ac:dyDescent="0.3">
      <c r="A85" s="45">
        <v>46076</v>
      </c>
      <c r="B85" s="47">
        <v>0.05</v>
      </c>
      <c r="C85" s="46">
        <v>16</v>
      </c>
      <c r="D85" s="47">
        <v>0</v>
      </c>
      <c r="E85" s="46">
        <v>0</v>
      </c>
      <c r="F85" s="46">
        <v>8</v>
      </c>
      <c r="G85" s="46">
        <v>82</v>
      </c>
      <c r="H85" s="46">
        <v>71</v>
      </c>
    </row>
    <row r="86" spans="1:8" x14ac:dyDescent="0.3">
      <c r="A86" s="45">
        <v>46077</v>
      </c>
      <c r="B86" s="47">
        <v>0.05</v>
      </c>
      <c r="C86" s="46">
        <v>17</v>
      </c>
      <c r="D86" s="47">
        <v>1</v>
      </c>
      <c r="E86" s="46">
        <v>0</v>
      </c>
      <c r="F86" s="46">
        <v>9</v>
      </c>
      <c r="G86" s="46">
        <v>82</v>
      </c>
      <c r="H86" s="46">
        <v>72</v>
      </c>
    </row>
    <row r="87" spans="1:8" x14ac:dyDescent="0.3">
      <c r="A87" s="45">
        <v>46078</v>
      </c>
      <c r="B87" s="47">
        <v>0.05</v>
      </c>
      <c r="C87" s="46">
        <v>30</v>
      </c>
      <c r="D87" s="47">
        <v>0</v>
      </c>
      <c r="E87" s="46">
        <v>0</v>
      </c>
      <c r="F87" s="46">
        <v>10</v>
      </c>
      <c r="G87" s="46">
        <v>82</v>
      </c>
      <c r="H87" s="46">
        <v>72</v>
      </c>
    </row>
    <row r="88" spans="1:8" x14ac:dyDescent="0.3">
      <c r="A88" s="77">
        <v>46079</v>
      </c>
      <c r="B88" s="78">
        <v>0.05</v>
      </c>
      <c r="C88" s="79">
        <v>15</v>
      </c>
      <c r="D88" s="78">
        <v>1</v>
      </c>
      <c r="E88" s="79">
        <v>0</v>
      </c>
      <c r="F88" s="79">
        <v>11</v>
      </c>
      <c r="G88" s="79">
        <v>82</v>
      </c>
      <c r="H88" s="79">
        <v>72</v>
      </c>
    </row>
    <row r="89" spans="1:8" x14ac:dyDescent="0.3">
      <c r="A89" s="77">
        <v>46083</v>
      </c>
      <c r="B89" s="78">
        <v>0.05</v>
      </c>
      <c r="C89" s="79">
        <v>20</v>
      </c>
      <c r="D89" s="78">
        <v>1</v>
      </c>
      <c r="E89" s="79">
        <v>1</v>
      </c>
      <c r="F89" s="79">
        <v>15</v>
      </c>
      <c r="G89" s="79">
        <v>80</v>
      </c>
      <c r="H89" s="79">
        <v>71</v>
      </c>
    </row>
    <row r="90" spans="1:8" x14ac:dyDescent="0.3">
      <c r="A90" s="77">
        <v>46084</v>
      </c>
      <c r="B90" s="78">
        <v>0.05</v>
      </c>
      <c r="C90" s="79">
        <v>38</v>
      </c>
      <c r="D90" s="78">
        <v>1</v>
      </c>
      <c r="E90" s="79">
        <v>0</v>
      </c>
      <c r="F90" s="79">
        <v>16</v>
      </c>
      <c r="G90" s="79">
        <v>80</v>
      </c>
      <c r="H90" s="79">
        <v>71</v>
      </c>
    </row>
    <row r="91" spans="1:8" x14ac:dyDescent="0.3">
      <c r="A91" s="45">
        <v>46085</v>
      </c>
      <c r="B91" s="47"/>
      <c r="C91" s="46">
        <v>41</v>
      </c>
      <c r="D91" s="47"/>
      <c r="E91" s="46"/>
      <c r="F91" s="46">
        <v>0</v>
      </c>
      <c r="G91" s="46">
        <v>82</v>
      </c>
      <c r="H91" s="46">
        <v>72</v>
      </c>
    </row>
    <row r="92" spans="1:8" x14ac:dyDescent="0.3">
      <c r="A92" s="45">
        <v>46086</v>
      </c>
      <c r="B92" s="47"/>
      <c r="C92" s="46">
        <v>69</v>
      </c>
      <c r="D92" s="47"/>
      <c r="E92" s="46"/>
      <c r="F92" s="46"/>
      <c r="G92" s="46">
        <v>81</v>
      </c>
      <c r="H92" s="46">
        <v>73</v>
      </c>
    </row>
    <row r="93" spans="1:8" x14ac:dyDescent="0.3">
      <c r="A93" s="45">
        <v>46090</v>
      </c>
      <c r="B93" s="47">
        <v>0.05</v>
      </c>
      <c r="C93" s="46">
        <v>8</v>
      </c>
      <c r="D93" s="47"/>
      <c r="E93" s="46"/>
      <c r="F93" s="46">
        <v>22</v>
      </c>
      <c r="G93" s="46">
        <v>81</v>
      </c>
      <c r="H93" s="46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73CA-7458-4741-9A64-653E784C480B}">
  <dimension ref="A1:D31"/>
  <sheetViews>
    <sheetView workbookViewId="0">
      <pane xSplit="1" ySplit="1" topLeftCell="B10" activePane="bottomRight" state="frozen"/>
      <selection pane="topRight" activeCell="C1" sqref="C1"/>
      <selection pane="bottomLeft" activeCell="A2" sqref="A2"/>
      <selection pane="bottomRight" activeCell="B33" sqref="B33"/>
    </sheetView>
  </sheetViews>
  <sheetFormatPr defaultRowHeight="14.4" x14ac:dyDescent="0.3"/>
  <cols>
    <col min="1" max="1" width="12.44140625" customWidth="1"/>
    <col min="2" max="2" width="68.44140625" bestFit="1" customWidth="1"/>
    <col min="3" max="3" width="15.109375" bestFit="1" customWidth="1"/>
    <col min="4" max="4" width="17.44140625" bestFit="1" customWidth="1"/>
  </cols>
  <sheetData>
    <row r="1" spans="1:4" x14ac:dyDescent="0.3">
      <c r="A1" s="59" t="s">
        <v>0</v>
      </c>
      <c r="B1" s="59" t="s">
        <v>339</v>
      </c>
      <c r="C1" s="59" t="s">
        <v>340</v>
      </c>
      <c r="D1" s="59" t="s">
        <v>341</v>
      </c>
    </row>
    <row r="2" spans="1:4" x14ac:dyDescent="0.3">
      <c r="A2" s="60">
        <v>45995</v>
      </c>
      <c r="B2" s="61" t="s">
        <v>342</v>
      </c>
      <c r="C2" s="60">
        <v>46022</v>
      </c>
      <c r="D2" s="61" t="s">
        <v>343</v>
      </c>
    </row>
    <row r="3" spans="1:4" x14ac:dyDescent="0.3">
      <c r="A3" s="60">
        <v>45995</v>
      </c>
      <c r="B3" s="61" t="s">
        <v>344</v>
      </c>
      <c r="C3" s="60">
        <v>46022</v>
      </c>
      <c r="D3" s="61" t="s">
        <v>345</v>
      </c>
    </row>
    <row r="4" spans="1:4" x14ac:dyDescent="0.3">
      <c r="A4" s="60">
        <v>45995</v>
      </c>
      <c r="B4" s="61" t="s">
        <v>346</v>
      </c>
      <c r="C4" s="60">
        <v>46022</v>
      </c>
      <c r="D4" s="61" t="s">
        <v>347</v>
      </c>
    </row>
    <row r="5" spans="1:4" x14ac:dyDescent="0.3">
      <c r="A5" s="60">
        <v>45995</v>
      </c>
      <c r="B5" s="61" t="s">
        <v>348</v>
      </c>
      <c r="C5" s="60">
        <v>46022</v>
      </c>
      <c r="D5" s="61" t="s">
        <v>349</v>
      </c>
    </row>
    <row r="6" spans="1:4" x14ac:dyDescent="0.3">
      <c r="A6" s="60">
        <v>45995</v>
      </c>
      <c r="B6" s="61" t="s">
        <v>350</v>
      </c>
      <c r="C6" s="60">
        <v>46022</v>
      </c>
      <c r="D6" s="61" t="s">
        <v>347</v>
      </c>
    </row>
    <row r="7" spans="1:4" x14ac:dyDescent="0.3">
      <c r="A7" s="60">
        <v>45995</v>
      </c>
      <c r="B7" s="61" t="s">
        <v>351</v>
      </c>
      <c r="C7" s="60">
        <v>46022</v>
      </c>
      <c r="D7" s="61" t="s">
        <v>352</v>
      </c>
    </row>
    <row r="8" spans="1:4" x14ac:dyDescent="0.3">
      <c r="A8" s="60">
        <v>45995</v>
      </c>
      <c r="B8" s="61" t="s">
        <v>353</v>
      </c>
      <c r="C8" s="60">
        <v>46022</v>
      </c>
      <c r="D8" s="61" t="s">
        <v>349</v>
      </c>
    </row>
    <row r="9" spans="1:4" x14ac:dyDescent="0.3">
      <c r="A9" s="60">
        <v>45995</v>
      </c>
      <c r="B9" s="61" t="s">
        <v>354</v>
      </c>
      <c r="C9" s="60">
        <v>46022</v>
      </c>
      <c r="D9" s="61" t="s">
        <v>355</v>
      </c>
    </row>
    <row r="10" spans="1:4" x14ac:dyDescent="0.3">
      <c r="A10" s="60">
        <v>45995</v>
      </c>
      <c r="B10" s="61" t="s">
        <v>354</v>
      </c>
      <c r="C10" s="60">
        <v>46022</v>
      </c>
      <c r="D10" s="61" t="s">
        <v>356</v>
      </c>
    </row>
    <row r="11" spans="1:4" x14ac:dyDescent="0.3">
      <c r="A11" s="60">
        <v>45995</v>
      </c>
      <c r="B11" s="61" t="s">
        <v>354</v>
      </c>
      <c r="C11" s="60">
        <v>46022</v>
      </c>
      <c r="D11" s="61" t="s">
        <v>347</v>
      </c>
    </row>
    <row r="12" spans="1:4" x14ac:dyDescent="0.3">
      <c r="A12" s="60">
        <v>45995</v>
      </c>
      <c r="B12" s="61" t="s">
        <v>354</v>
      </c>
      <c r="C12" s="60">
        <v>46022</v>
      </c>
      <c r="D12" s="61" t="s">
        <v>352</v>
      </c>
    </row>
    <row r="13" spans="1:4" x14ac:dyDescent="0.3">
      <c r="A13" s="62">
        <v>45995</v>
      </c>
      <c r="B13" s="63" t="s">
        <v>354</v>
      </c>
      <c r="C13" s="62">
        <v>46022</v>
      </c>
      <c r="D13" s="63" t="s">
        <v>349</v>
      </c>
    </row>
    <row r="14" spans="1:4" x14ac:dyDescent="0.3">
      <c r="A14" s="60">
        <v>45995</v>
      </c>
      <c r="B14" s="61" t="s">
        <v>354</v>
      </c>
      <c r="C14" s="60">
        <v>46022</v>
      </c>
      <c r="D14" s="61" t="s">
        <v>357</v>
      </c>
    </row>
    <row r="15" spans="1:4" x14ac:dyDescent="0.3">
      <c r="A15" s="60">
        <v>45995</v>
      </c>
      <c r="B15" s="61" t="s">
        <v>354</v>
      </c>
      <c r="C15" s="60">
        <v>46022</v>
      </c>
      <c r="D15" s="61" t="s">
        <v>358</v>
      </c>
    </row>
    <row r="16" spans="1:4" x14ac:dyDescent="0.3">
      <c r="A16" s="60">
        <v>46002</v>
      </c>
      <c r="B16" s="61" t="s">
        <v>359</v>
      </c>
      <c r="C16" s="60">
        <v>46022</v>
      </c>
      <c r="D16" s="61" t="s">
        <v>347</v>
      </c>
    </row>
    <row r="17" spans="1:4" x14ac:dyDescent="0.3">
      <c r="A17" s="60">
        <v>46007</v>
      </c>
      <c r="B17" s="61" t="s">
        <v>360</v>
      </c>
      <c r="C17" s="60">
        <v>46022</v>
      </c>
      <c r="D17" s="61" t="s">
        <v>361</v>
      </c>
    </row>
    <row r="18" spans="1:4" x14ac:dyDescent="0.3">
      <c r="A18" s="35">
        <v>45663</v>
      </c>
      <c r="B18" s="36" t="s">
        <v>362</v>
      </c>
      <c r="C18" s="35">
        <v>46028</v>
      </c>
      <c r="D18" s="36" t="s">
        <v>363</v>
      </c>
    </row>
    <row r="19" spans="1:4" x14ac:dyDescent="0.3">
      <c r="A19" s="35">
        <v>45663</v>
      </c>
      <c r="B19" s="36" t="s">
        <v>364</v>
      </c>
      <c r="C19" s="35">
        <v>46038</v>
      </c>
      <c r="D19" s="36" t="s">
        <v>365</v>
      </c>
    </row>
    <row r="20" spans="1:4" x14ac:dyDescent="0.3">
      <c r="A20" s="37">
        <v>46029</v>
      </c>
      <c r="B20" s="12" t="s">
        <v>366</v>
      </c>
      <c r="C20" s="37">
        <v>46038</v>
      </c>
      <c r="D20" s="12" t="s">
        <v>365</v>
      </c>
    </row>
    <row r="21" spans="1:4" x14ac:dyDescent="0.3">
      <c r="A21" s="37">
        <v>46038</v>
      </c>
      <c r="B21" s="38" t="s">
        <v>367</v>
      </c>
      <c r="C21" s="37">
        <v>46051</v>
      </c>
      <c r="D21" s="38"/>
    </row>
    <row r="22" spans="1:4" x14ac:dyDescent="0.3">
      <c r="A22" s="37">
        <v>46042</v>
      </c>
      <c r="B22" s="38" t="s">
        <v>368</v>
      </c>
      <c r="C22" s="37">
        <v>46051</v>
      </c>
      <c r="D22" s="38"/>
    </row>
    <row r="23" spans="1:4" x14ac:dyDescent="0.3">
      <c r="A23" s="37">
        <v>46043</v>
      </c>
      <c r="B23" s="38" t="s">
        <v>369</v>
      </c>
      <c r="C23" s="38"/>
      <c r="D23" s="38" t="s">
        <v>365</v>
      </c>
    </row>
    <row r="24" spans="1:4" x14ac:dyDescent="0.3">
      <c r="A24" s="37">
        <v>46044</v>
      </c>
      <c r="B24" s="38" t="s">
        <v>370</v>
      </c>
      <c r="C24" s="37">
        <v>46054</v>
      </c>
      <c r="D24" s="38" t="s">
        <v>371</v>
      </c>
    </row>
    <row r="25" spans="1:4" x14ac:dyDescent="0.3">
      <c r="A25" s="37">
        <v>46044</v>
      </c>
      <c r="B25" s="38" t="s">
        <v>372</v>
      </c>
      <c r="C25" s="37">
        <v>46054</v>
      </c>
      <c r="D25" s="38" t="s">
        <v>373</v>
      </c>
    </row>
    <row r="26" spans="1:4" x14ac:dyDescent="0.3">
      <c r="A26" s="37">
        <v>46051</v>
      </c>
      <c r="B26" s="38" t="s">
        <v>374</v>
      </c>
      <c r="C26" s="37">
        <v>46054</v>
      </c>
      <c r="D26" s="38" t="s">
        <v>365</v>
      </c>
    </row>
    <row r="27" spans="1:4" x14ac:dyDescent="0.3">
      <c r="A27" s="37">
        <v>46079</v>
      </c>
      <c r="B27" s="38" t="s">
        <v>375</v>
      </c>
      <c r="C27" s="38"/>
      <c r="D27" s="38" t="s">
        <v>349</v>
      </c>
    </row>
    <row r="28" spans="1:4" x14ac:dyDescent="0.3">
      <c r="A28" s="37">
        <v>46079</v>
      </c>
      <c r="B28" s="38" t="s">
        <v>376</v>
      </c>
      <c r="C28" s="38"/>
      <c r="D28" s="38" t="s">
        <v>377</v>
      </c>
    </row>
    <row r="29" spans="1:4" x14ac:dyDescent="0.3">
      <c r="A29" s="37">
        <v>46079</v>
      </c>
      <c r="B29" s="38" t="s">
        <v>378</v>
      </c>
      <c r="C29" s="38"/>
      <c r="D29" s="38" t="s">
        <v>379</v>
      </c>
    </row>
    <row r="30" spans="1:4" x14ac:dyDescent="0.3">
      <c r="A30" s="83">
        <v>46080</v>
      </c>
      <c r="B30" s="84" t="s">
        <v>380</v>
      </c>
      <c r="C30" s="84"/>
      <c r="D30" s="85" t="s">
        <v>381</v>
      </c>
    </row>
    <row r="31" spans="1:4" x14ac:dyDescent="0.3">
      <c r="A31" s="1">
        <v>46084</v>
      </c>
      <c r="B31" t="s">
        <v>382</v>
      </c>
      <c r="D31" t="s">
        <v>383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Inventory Control</vt:lpstr>
      <vt:lpstr>Production</vt:lpstr>
      <vt:lpstr>Warehouse</vt:lpstr>
      <vt:lpstr>SAP PSA Tracking</vt:lpstr>
      <vt:lpstr>SAP</vt:lpstr>
      <vt:lpstr>Maintenance</vt:lpstr>
      <vt:lpstr>QA</vt:lpstr>
      <vt:lpstr>Finance</vt:lpstr>
      <vt:lpstr>HR | Training</vt:lpstr>
      <vt:lpstr>Needs Action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Mendoza, Albert</dc:creator>
  <cp:keywords/>
  <dc:description/>
  <cp:lastModifiedBy>Mendoza, Albert</cp:lastModifiedBy>
  <cp:revision/>
  <dcterms:created xsi:type="dcterms:W3CDTF">2015-06-05T18:17:20Z</dcterms:created>
  <dcterms:modified xsi:type="dcterms:W3CDTF">2026-03-10T15:44:56Z</dcterms:modified>
  <cp:category/>
  <cp:contentStatus/>
</cp:coreProperties>
</file>